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onfluenciasrl-my.sharepoint.com/personal/sara_confluencia_it/Documents/...SARA/"/>
    </mc:Choice>
  </mc:AlternateContent>
  <xr:revisionPtr revIDLastSave="142" documentId="8_{7CA3AEA5-8E18-43BB-9792-F60F79C64C73}" xr6:coauthVersionLast="47" xr6:coauthVersionMax="47" xr10:uidLastSave="{F684688F-1739-4903-98EC-496D5AE344BF}"/>
  <bookViews>
    <workbookView xWindow="-120" yWindow="-120" windowWidth="29040" windowHeight="15720" xr2:uid="{00000000-000D-0000-FFFF-FFFF00000000}"/>
  </bookViews>
  <sheets>
    <sheet name="Progetti" sheetId="1" r:id="rId1"/>
    <sheet name="Dashboard" sheetId="2" r:id="rId2"/>
    <sheet name="Paesi" sheetId="3" r:id="rId3"/>
  </sheets>
  <definedNames>
    <definedName name="_xlnm._FilterDatabase" localSheetId="2" hidden="1">Paesi!$A$1:$B$1</definedName>
    <definedName name="_xlnm._FilterDatabase" localSheetId="0" hidden="1">Progetti!$A$1:$M$1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9" i="1"/>
  <c r="F8" i="1"/>
  <c r="F3" i="1"/>
  <c r="F4" i="1"/>
  <c r="F5" i="1"/>
  <c r="F6" i="1"/>
  <c r="F7" i="1"/>
  <c r="F2" i="1"/>
  <c r="B9" i="2"/>
  <c r="B7" i="2"/>
  <c r="B5" i="2"/>
  <c r="B3" i="2"/>
</calcChain>
</file>

<file path=xl/sharedStrings.xml><?xml version="1.0" encoding="utf-8"?>
<sst xmlns="http://schemas.openxmlformats.org/spreadsheetml/2006/main" count="597" uniqueCount="556">
  <si>
    <t>Nome Prodotto</t>
  </si>
  <si>
    <t>Foto</t>
  </si>
  <si>
    <t>Peso</t>
  </si>
  <si>
    <t>Stato Avanzamento</t>
  </si>
  <si>
    <t>Priorità</t>
  </si>
  <si>
    <t>Fornitore</t>
  </si>
  <si>
    <t>Costo Indicativo</t>
  </si>
  <si>
    <t>Ultimo Aggiornamento</t>
  </si>
  <si>
    <t>Note</t>
  </si>
  <si>
    <t>Idea</t>
  </si>
  <si>
    <t>In sviluppo</t>
  </si>
  <si>
    <t>📊 DASHBOARD PROGETTI 2027</t>
  </si>
  <si>
    <t>Totale Prodotti:</t>
  </si>
  <si>
    <t>Prodotti Pronti:</t>
  </si>
  <si>
    <t>Alta Priorità:</t>
  </si>
  <si>
    <t>In Sviluppo:</t>
  </si>
  <si>
    <t>1000 g</t>
  </si>
  <si>
    <t>horeca</t>
  </si>
  <si>
    <t xml:space="preserve"> </t>
  </si>
  <si>
    <t>richiesto prodotto a RUD</t>
  </si>
  <si>
    <t>1200g</t>
  </si>
  <si>
    <t>retail</t>
  </si>
  <si>
    <t>vari</t>
  </si>
  <si>
    <t>contattati vari fornitori</t>
  </si>
  <si>
    <t>1000g</t>
  </si>
  <si>
    <t>progetto da sviluppare</t>
  </si>
  <si>
    <t>produttore da contattare</t>
  </si>
  <si>
    <t>Cliente</t>
  </si>
  <si>
    <t>ricercare produttore</t>
  </si>
  <si>
    <t>60/100g</t>
  </si>
  <si>
    <t>Multipack miniCannoli  4 pz</t>
  </si>
  <si>
    <t>ALTA</t>
  </si>
  <si>
    <t>fare offerta Uniontrade</t>
  </si>
  <si>
    <t>Lamponi ricoperti in bulk</t>
  </si>
  <si>
    <t>Flan</t>
  </si>
  <si>
    <t>Aransushi 20 / 30g</t>
  </si>
  <si>
    <t>Tiramisù spiedini</t>
  </si>
  <si>
    <t>JOINT STOCK COMPANY "RUD"</t>
  </si>
  <si>
    <t>FRESH GOURMET CUISINE</t>
  </si>
  <si>
    <t>Mercato / canale</t>
  </si>
  <si>
    <t>Paese</t>
  </si>
  <si>
    <t>Cina</t>
  </si>
  <si>
    <t>India</t>
  </si>
  <si>
    <t>Indonesia</t>
  </si>
  <si>
    <t>Pakistan</t>
  </si>
  <si>
    <t>Nigeria</t>
  </si>
  <si>
    <t>Brasile</t>
  </si>
  <si>
    <t>Bangladesh</t>
  </si>
  <si>
    <t>Russia</t>
  </si>
  <si>
    <t>Messico</t>
  </si>
  <si>
    <t>Giappone</t>
  </si>
  <si>
    <t>Etiopia</t>
  </si>
  <si>
    <t>Filippine</t>
  </si>
  <si>
    <t>Egitto</t>
  </si>
  <si>
    <t>Vietnam</t>
  </si>
  <si>
    <t>Turchia</t>
  </si>
  <si>
    <t>Iran</t>
  </si>
  <si>
    <t>Germania</t>
  </si>
  <si>
    <t>Thailandia</t>
  </si>
  <si>
    <t>Regno Unito</t>
  </si>
  <si>
    <t>Francia</t>
  </si>
  <si>
    <t>Tanzania</t>
  </si>
  <si>
    <t>Sudafrica</t>
  </si>
  <si>
    <t>Italia</t>
  </si>
  <si>
    <t>Kenya</t>
  </si>
  <si>
    <t>Birmania</t>
  </si>
  <si>
    <t>Colombia</t>
  </si>
  <si>
    <t>Corea del Sud</t>
  </si>
  <si>
    <t>Uganda</t>
  </si>
  <si>
    <t>Spagna</t>
  </si>
  <si>
    <t>Argentina</t>
  </si>
  <si>
    <t>Sudan</t>
  </si>
  <si>
    <t>Algeria</t>
  </si>
  <si>
    <t>Ucraina</t>
  </si>
  <si>
    <t>Iraq</t>
  </si>
  <si>
    <t>Afghanistan</t>
  </si>
  <si>
    <t>Canada</t>
  </si>
  <si>
    <t>Marocco</t>
  </si>
  <si>
    <t>Polonia</t>
  </si>
  <si>
    <t>Arabia Saudita</t>
  </si>
  <si>
    <t>Uzbekistan</t>
  </si>
  <si>
    <t>Perù</t>
  </si>
  <si>
    <t>Angola</t>
  </si>
  <si>
    <t>Ghana</t>
  </si>
  <si>
    <t>Mozambico</t>
  </si>
  <si>
    <t>Nepal</t>
  </si>
  <si>
    <t>Yemen</t>
  </si>
  <si>
    <t>Venezuela</t>
  </si>
  <si>
    <t>Costa d'Avorio</t>
  </si>
  <si>
    <t>Madagascar</t>
  </si>
  <si>
    <t>Australia</t>
  </si>
  <si>
    <t>Corea del Nord</t>
  </si>
  <si>
    <t>Camerun</t>
  </si>
  <si>
    <t>Niger</t>
  </si>
  <si>
    <t>Sri Lanka</t>
  </si>
  <si>
    <t>Burkina Faso</t>
  </si>
  <si>
    <t>Mali</t>
  </si>
  <si>
    <t>Cile</t>
  </si>
  <si>
    <t>Romania</t>
  </si>
  <si>
    <t>Kazakistan</t>
  </si>
  <si>
    <t>Malawi</t>
  </si>
  <si>
    <t>Zambia</t>
  </si>
  <si>
    <t>Ecuador</t>
  </si>
  <si>
    <t>Siria</t>
  </si>
  <si>
    <t>Guatemala</t>
  </si>
  <si>
    <t>Senegal</t>
  </si>
  <si>
    <t>Ciad</t>
  </si>
  <si>
    <t>Somalia</t>
  </si>
  <si>
    <t>Zimbabwe</t>
  </si>
  <si>
    <t>Cambogia</t>
  </si>
  <si>
    <t>Ruanda</t>
  </si>
  <si>
    <t>Guinea</t>
  </si>
  <si>
    <t>Burundi</t>
  </si>
  <si>
    <t>Benin</t>
  </si>
  <si>
    <t>Haiti</t>
  </si>
  <si>
    <t>Tunisia</t>
  </si>
  <si>
    <t>Bolivia</t>
  </si>
  <si>
    <t>Belgio</t>
  </si>
  <si>
    <t>Cuba</t>
  </si>
  <si>
    <t>Giordania</t>
  </si>
  <si>
    <t>Grecia</t>
  </si>
  <si>
    <t>Svezia</t>
  </si>
  <si>
    <t>Portogallo</t>
  </si>
  <si>
    <t>Azerbaigian</t>
  </si>
  <si>
    <t>Ungheria</t>
  </si>
  <si>
    <t>Bielorussia</t>
  </si>
  <si>
    <t>Emirati Arabi Uniti</t>
  </si>
  <si>
    <t>Tagikistan</t>
  </si>
  <si>
    <t>Honduras</t>
  </si>
  <si>
    <t>Israele</t>
  </si>
  <si>
    <t>Austria</t>
  </si>
  <si>
    <t>Papua Nuova Guinea</t>
  </si>
  <si>
    <t>Svizzera</t>
  </si>
  <si>
    <t>Sierra Leone</t>
  </si>
  <si>
    <t>Togo</t>
  </si>
  <si>
    <t>Hong Kong</t>
  </si>
  <si>
    <t>Paraguay</t>
  </si>
  <si>
    <t>Laos</t>
  </si>
  <si>
    <t>Bulgaria</t>
  </si>
  <si>
    <t>Serbia</t>
  </si>
  <si>
    <t>Libia</t>
  </si>
  <si>
    <t>Libano</t>
  </si>
  <si>
    <t>El Salvador</t>
  </si>
  <si>
    <t>Kirghizistan</t>
  </si>
  <si>
    <t>Nicaragua</t>
  </si>
  <si>
    <t>Turkmenistan</t>
  </si>
  <si>
    <t>Danimarca</t>
  </si>
  <si>
    <t>Singapore</t>
  </si>
  <si>
    <t>Finlandia</t>
  </si>
  <si>
    <t>Slovacchia</t>
  </si>
  <si>
    <t>Norvegia</t>
  </si>
  <si>
    <t>Costa Rica</t>
  </si>
  <si>
    <t>Nuova Zelanda</t>
  </si>
  <si>
    <t>Irlanda</t>
  </si>
  <si>
    <t>Liberia</t>
  </si>
  <si>
    <t>Kuwait</t>
  </si>
  <si>
    <t>Oman</t>
  </si>
  <si>
    <t>Mauritania</t>
  </si>
  <si>
    <t>Georgia</t>
  </si>
  <si>
    <t>Eritrea</t>
  </si>
  <si>
    <t>Uruguay</t>
  </si>
  <si>
    <t>Mongolia</t>
  </si>
  <si>
    <t>Armenia</t>
  </si>
  <si>
    <t>Albania</t>
  </si>
  <si>
    <t>Lituania</t>
  </si>
  <si>
    <t>Giamaica</t>
  </si>
  <si>
    <t>Qatar</t>
  </si>
  <si>
    <t>Moldavia</t>
  </si>
  <si>
    <t>Namibia</t>
  </si>
  <si>
    <t>Botswana</t>
  </si>
  <si>
    <t>Gambia</t>
  </si>
  <si>
    <t>Gabon</t>
  </si>
  <si>
    <t>Slovenia</t>
  </si>
  <si>
    <t>Lesotho</t>
  </si>
  <si>
    <t>Lettonia</t>
  </si>
  <si>
    <t>Guinea-Bissau</t>
  </si>
  <si>
    <t>Guinea Equatoriale</t>
  </si>
  <si>
    <t>Trinidad e Tobago</t>
  </si>
  <si>
    <t>Estonia</t>
  </si>
  <si>
    <t>Timor Est</t>
  </si>
  <si>
    <t>Mauritius</t>
  </si>
  <si>
    <t>Gibuti</t>
  </si>
  <si>
    <t>Figi</t>
  </si>
  <si>
    <t>Cipro</t>
  </si>
  <si>
    <t>Comore</t>
  </si>
  <si>
    <t>Bhutan</t>
  </si>
  <si>
    <t>Guyana</t>
  </si>
  <si>
    <t>Isole Salomone</t>
  </si>
  <si>
    <t>Lussemburgo</t>
  </si>
  <si>
    <t>Montenegro</t>
  </si>
  <si>
    <t>Sahara Occidentale</t>
  </si>
  <si>
    <t>Suriname</t>
  </si>
  <si>
    <t>Capo Verde</t>
  </si>
  <si>
    <t>Malta</t>
  </si>
  <si>
    <t>Brunei</t>
  </si>
  <si>
    <t>Belize</t>
  </si>
  <si>
    <t>Bahamas</t>
  </si>
  <si>
    <t>Maldive</t>
  </si>
  <si>
    <t>Islanda</t>
  </si>
  <si>
    <t>Vanuatu</t>
  </si>
  <si>
    <t>Barbados</t>
  </si>
  <si>
    <t>São Tomé e Príncipe</t>
  </si>
  <si>
    <t>Samoa</t>
  </si>
  <si>
    <t>Kiribati</t>
  </si>
  <si>
    <t>Grenada</t>
  </si>
  <si>
    <t>Saint Vincent e Grenadine</t>
  </si>
  <si>
    <t>Tonga</t>
  </si>
  <si>
    <t>Seychelles</t>
  </si>
  <si>
    <t>Antigua e Barbuda</t>
  </si>
  <si>
    <t>Andorra</t>
  </si>
  <si>
    <t>Dominica</t>
  </si>
  <si>
    <t>Isole Marshall</t>
  </si>
  <si>
    <t>Saint Kitts e Nevis</t>
  </si>
  <si>
    <t>Liechtenstein</t>
  </si>
  <si>
    <t>Monaco</t>
  </si>
  <si>
    <t>San Marino</t>
  </si>
  <si>
    <t>Palau</t>
  </si>
  <si>
    <t>Nauru</t>
  </si>
  <si>
    <t>Tuvalu</t>
  </si>
  <si>
    <t>Città del Vaticano</t>
  </si>
  <si>
    <t>Codice</t>
  </si>
  <si>
    <t>Descrizione</t>
  </si>
  <si>
    <t>AF</t>
  </si>
  <si>
    <t>AL</t>
  </si>
  <si>
    <t>DZ</t>
  </si>
  <si>
    <t>AD</t>
  </si>
  <si>
    <t>AO</t>
  </si>
  <si>
    <t>AI</t>
  </si>
  <si>
    <t>Anguilla</t>
  </si>
  <si>
    <t>AQ</t>
  </si>
  <si>
    <t>Antartide</t>
  </si>
  <si>
    <t>AG</t>
  </si>
  <si>
    <t>AN</t>
  </si>
  <si>
    <t>Antille Olandesi</t>
  </si>
  <si>
    <t>SA</t>
  </si>
  <si>
    <t>AR</t>
  </si>
  <si>
    <t>AM</t>
  </si>
  <si>
    <t>AW</t>
  </si>
  <si>
    <t>Aruba</t>
  </si>
  <si>
    <t>AU</t>
  </si>
  <si>
    <t>AT</t>
  </si>
  <si>
    <t>AZ</t>
  </si>
  <si>
    <t>BS</t>
  </si>
  <si>
    <t>BH</t>
  </si>
  <si>
    <t>Bahrain</t>
  </si>
  <si>
    <t>BD</t>
  </si>
  <si>
    <t>BB</t>
  </si>
  <si>
    <t>BE</t>
  </si>
  <si>
    <t>BZ</t>
  </si>
  <si>
    <t>BJ</t>
  </si>
  <si>
    <t>BM</t>
  </si>
  <si>
    <t>Bermuda</t>
  </si>
  <si>
    <t>BT</t>
  </si>
  <si>
    <t>BY</t>
  </si>
  <si>
    <t>MM</t>
  </si>
  <si>
    <t>BO</t>
  </si>
  <si>
    <t>BA</t>
  </si>
  <si>
    <t>Bosnia-Erzegovina</t>
  </si>
  <si>
    <t>BW</t>
  </si>
  <si>
    <t>BR</t>
  </si>
  <si>
    <t>BN</t>
  </si>
  <si>
    <t>BG</t>
  </si>
  <si>
    <t>BF</t>
  </si>
  <si>
    <t>BI</t>
  </si>
  <si>
    <t>KH</t>
  </si>
  <si>
    <t>CM</t>
  </si>
  <si>
    <t>CA</t>
  </si>
  <si>
    <t>CV</t>
  </si>
  <si>
    <t>TD</t>
  </si>
  <si>
    <t>CL</t>
  </si>
  <si>
    <t>CN</t>
  </si>
  <si>
    <t>CY</t>
  </si>
  <si>
    <t>VA</t>
  </si>
  <si>
    <t>CO</t>
  </si>
  <si>
    <t>KM</t>
  </si>
  <si>
    <t>KP</t>
  </si>
  <si>
    <t>KR</t>
  </si>
  <si>
    <t>CI</t>
  </si>
  <si>
    <t>CR</t>
  </si>
  <si>
    <t>CU</t>
  </si>
  <si>
    <t>DK</t>
  </si>
  <si>
    <t>DM</t>
  </si>
  <si>
    <t>EC</t>
  </si>
  <si>
    <t>EG</t>
  </si>
  <si>
    <t>SV</t>
  </si>
  <si>
    <t>AE</t>
  </si>
  <si>
    <t>ER</t>
  </si>
  <si>
    <t>EE</t>
  </si>
  <si>
    <t>ET</t>
  </si>
  <si>
    <t>FJ</t>
  </si>
  <si>
    <t>PH</t>
  </si>
  <si>
    <t>FI</t>
  </si>
  <si>
    <t>FR</t>
  </si>
  <si>
    <t>GA</t>
  </si>
  <si>
    <t>GM</t>
  </si>
  <si>
    <t>GE</t>
  </si>
  <si>
    <t>GS</t>
  </si>
  <si>
    <t>Georgia del Sud e isole Sandwich meridionali</t>
  </si>
  <si>
    <t>DE</t>
  </si>
  <si>
    <t>GH</t>
  </si>
  <si>
    <t>JM</t>
  </si>
  <si>
    <t>JP</t>
  </si>
  <si>
    <t>GI</t>
  </si>
  <si>
    <t>Gibilterra</t>
  </si>
  <si>
    <t>DJ</t>
  </si>
  <si>
    <t>JO</t>
  </si>
  <si>
    <t>GD</t>
  </si>
  <si>
    <t>GL</t>
  </si>
  <si>
    <t>Groenlandia</t>
  </si>
  <si>
    <t>GP</t>
  </si>
  <si>
    <t>Guadalupa</t>
  </si>
  <si>
    <t>GU</t>
  </si>
  <si>
    <t>Guam</t>
  </si>
  <si>
    <t>GT</t>
  </si>
  <si>
    <t>GG</t>
  </si>
  <si>
    <t>Guernsey</t>
  </si>
  <si>
    <t>GN</t>
  </si>
  <si>
    <t>GQ</t>
  </si>
  <si>
    <t>GW</t>
  </si>
  <si>
    <t>GY</t>
  </si>
  <si>
    <t>GF</t>
  </si>
  <si>
    <t>Guyana Francese</t>
  </si>
  <si>
    <t>HT</t>
  </si>
  <si>
    <t>HN</t>
  </si>
  <si>
    <t>HK</t>
  </si>
  <si>
    <t>IN</t>
  </si>
  <si>
    <t>ID</t>
  </si>
  <si>
    <t>IR</t>
  </si>
  <si>
    <t>IQ</t>
  </si>
  <si>
    <t>IE</t>
  </si>
  <si>
    <t>IS</t>
  </si>
  <si>
    <t>BV</t>
  </si>
  <si>
    <t>Isola Bouvet</t>
  </si>
  <si>
    <t>CX</t>
  </si>
  <si>
    <t>Isola Christmas</t>
  </si>
  <si>
    <t>IM</t>
  </si>
  <si>
    <t>Isola di Man</t>
  </si>
  <si>
    <t>NF</t>
  </si>
  <si>
    <t>Isola Norfolk</t>
  </si>
  <si>
    <t>AX</t>
  </si>
  <si>
    <t>Isole Åland</t>
  </si>
  <si>
    <t>KY</t>
  </si>
  <si>
    <t>Isole Cayman</t>
  </si>
  <si>
    <t>CC</t>
  </si>
  <si>
    <t>Isole Cocos</t>
  </si>
  <si>
    <t>CK</t>
  </si>
  <si>
    <t>Isole Cook</t>
  </si>
  <si>
    <t>FO</t>
  </si>
  <si>
    <t>Isole Fær Øer</t>
  </si>
  <si>
    <t>FK</t>
  </si>
  <si>
    <t>Isole Falkland</t>
  </si>
  <si>
    <t>HM</t>
  </si>
  <si>
    <t>Isole Heard e McDonald</t>
  </si>
  <si>
    <t>MP</t>
  </si>
  <si>
    <t>Isole Marianne Settentrionali</t>
  </si>
  <si>
    <t>MH</t>
  </si>
  <si>
    <t>UM</t>
  </si>
  <si>
    <t>Isole minori esterne degli Stati Uniti</t>
  </si>
  <si>
    <t>PN</t>
  </si>
  <si>
    <t>Isole Pitcairn</t>
  </si>
  <si>
    <t>SB</t>
  </si>
  <si>
    <t>TC</t>
  </si>
  <si>
    <t>Isole Turks e Caicos</t>
  </si>
  <si>
    <t>VI</t>
  </si>
  <si>
    <t>Isole Vergini Americane</t>
  </si>
  <si>
    <t>VG</t>
  </si>
  <si>
    <t>Isole Vergini Britanniche</t>
  </si>
  <si>
    <t>IL</t>
  </si>
  <si>
    <t>IT</t>
  </si>
  <si>
    <t>JE</t>
  </si>
  <si>
    <t>Jersey</t>
  </si>
  <si>
    <t>KZ</t>
  </si>
  <si>
    <t>KE</t>
  </si>
  <si>
    <t>KG</t>
  </si>
  <si>
    <t>KI</t>
  </si>
  <si>
    <t>KW</t>
  </si>
  <si>
    <t>LA</t>
  </si>
  <si>
    <t>LS</t>
  </si>
  <si>
    <t>LV</t>
  </si>
  <si>
    <t>LB</t>
  </si>
  <si>
    <t>LR</t>
  </si>
  <si>
    <t>LY</t>
  </si>
  <si>
    <t>LI</t>
  </si>
  <si>
    <t>LT</t>
  </si>
  <si>
    <t>LU</t>
  </si>
  <si>
    <t>MO</t>
  </si>
  <si>
    <t>Macao</t>
  </si>
  <si>
    <t>MK</t>
  </si>
  <si>
    <t>Macedonia</t>
  </si>
  <si>
    <t>MG</t>
  </si>
  <si>
    <t>MW</t>
  </si>
  <si>
    <t>MV</t>
  </si>
  <si>
    <t>MY</t>
  </si>
  <si>
    <t>Malesia</t>
  </si>
  <si>
    <t>ML</t>
  </si>
  <si>
    <t>MT</t>
  </si>
  <si>
    <t>MA</t>
  </si>
  <si>
    <t>MQ</t>
  </si>
  <si>
    <t>Martinica</t>
  </si>
  <si>
    <t>MR</t>
  </si>
  <si>
    <t>MU</t>
  </si>
  <si>
    <t>YT</t>
  </si>
  <si>
    <t>Mayotte</t>
  </si>
  <si>
    <t>MX</t>
  </si>
  <si>
    <t>MD</t>
  </si>
  <si>
    <t>MC</t>
  </si>
  <si>
    <t>MN</t>
  </si>
  <si>
    <t>ME</t>
  </si>
  <si>
    <t>MS</t>
  </si>
  <si>
    <t>Montserrat</t>
  </si>
  <si>
    <t>MZ</t>
  </si>
  <si>
    <t>NA</t>
  </si>
  <si>
    <t>NR</t>
  </si>
  <si>
    <t>NP</t>
  </si>
  <si>
    <t>NI</t>
  </si>
  <si>
    <t>NE</t>
  </si>
  <si>
    <t>NG</t>
  </si>
  <si>
    <t>NU</t>
  </si>
  <si>
    <t>Niue</t>
  </si>
  <si>
    <t>NO</t>
  </si>
  <si>
    <t>NC</t>
  </si>
  <si>
    <t>Nuova Caledonia</t>
  </si>
  <si>
    <t>NZ</t>
  </si>
  <si>
    <t>NL</t>
  </si>
  <si>
    <t>Olanda</t>
  </si>
  <si>
    <t>OM</t>
  </si>
  <si>
    <t>PK</t>
  </si>
  <si>
    <t>PW</t>
  </si>
  <si>
    <t>PA</t>
  </si>
  <si>
    <t>Panamá</t>
  </si>
  <si>
    <t>PG</t>
  </si>
  <si>
    <t>PY</t>
  </si>
  <si>
    <t>PE</t>
  </si>
  <si>
    <t>PF</t>
  </si>
  <si>
    <t>Polinesia Francese</t>
  </si>
  <si>
    <t>PL</t>
  </si>
  <si>
    <t>PR</t>
  </si>
  <si>
    <t>Porto Rico</t>
  </si>
  <si>
    <t>PT</t>
  </si>
  <si>
    <t>QA</t>
  </si>
  <si>
    <t>GB</t>
  </si>
  <si>
    <t>CZ</t>
  </si>
  <si>
    <t>Repubblica Ceca</t>
  </si>
  <si>
    <t>CF</t>
  </si>
  <si>
    <t>Repubblica Centrafricana</t>
  </si>
  <si>
    <t>CG</t>
  </si>
  <si>
    <t>Repubblica del Congo</t>
  </si>
  <si>
    <t>CD</t>
  </si>
  <si>
    <t>Repubblica Democratica del Congo</t>
  </si>
  <si>
    <t>TW</t>
  </si>
  <si>
    <t>Repubblica di Cina</t>
  </si>
  <si>
    <t>DO</t>
  </si>
  <si>
    <t>Repubblica Dominicana</t>
  </si>
  <si>
    <t>RE</t>
  </si>
  <si>
    <t>Réunion</t>
  </si>
  <si>
    <t>RO</t>
  </si>
  <si>
    <t>RW</t>
  </si>
  <si>
    <t>RU</t>
  </si>
  <si>
    <t>EH</t>
  </si>
  <si>
    <t>KN</t>
  </si>
  <si>
    <t>PM</t>
  </si>
  <si>
    <t>Saint Pierre e Miquelon</t>
  </si>
  <si>
    <t>VC</t>
  </si>
  <si>
    <t>BL</t>
  </si>
  <si>
    <t>Saint-Barthélemy</t>
  </si>
  <si>
    <t>MF</t>
  </si>
  <si>
    <t>Saint-Martin</t>
  </si>
  <si>
    <t>WS</t>
  </si>
  <si>
    <t>AS</t>
  </si>
  <si>
    <t>Samoa Americane</t>
  </si>
  <si>
    <t>SM</t>
  </si>
  <si>
    <t>LC</t>
  </si>
  <si>
    <t>Santa Lucia</t>
  </si>
  <si>
    <t>SH</t>
  </si>
  <si>
    <t>Sant'Elena</t>
  </si>
  <si>
    <t>ST</t>
  </si>
  <si>
    <t>SN</t>
  </si>
  <si>
    <t>RS</t>
  </si>
  <si>
    <t>SC</t>
  </si>
  <si>
    <t>SL</t>
  </si>
  <si>
    <t>SG</t>
  </si>
  <si>
    <t>SY</t>
  </si>
  <si>
    <t>SK</t>
  </si>
  <si>
    <t>SI</t>
  </si>
  <si>
    <t>SO</t>
  </si>
  <si>
    <t>ES</t>
  </si>
  <si>
    <t>LK</t>
  </si>
  <si>
    <t>FM</t>
  </si>
  <si>
    <t>Stati Federati di Micronesia</t>
  </si>
  <si>
    <t>US</t>
  </si>
  <si>
    <t>Stati Uniti d'America</t>
  </si>
  <si>
    <t>ZA</t>
  </si>
  <si>
    <t>SD</t>
  </si>
  <si>
    <t>SR</t>
  </si>
  <si>
    <t>SJ</t>
  </si>
  <si>
    <t>Svalbard</t>
  </si>
  <si>
    <t>SE</t>
  </si>
  <si>
    <t>CH</t>
  </si>
  <si>
    <t>SZ</t>
  </si>
  <si>
    <t>Swaziland</t>
  </si>
  <si>
    <t>TJ</t>
  </si>
  <si>
    <t>TZ</t>
  </si>
  <si>
    <t>IO</t>
  </si>
  <si>
    <t>Territori Britannici dell'Oceano Indiano</t>
  </si>
  <si>
    <t>TF</t>
  </si>
  <si>
    <t>Territori Francesi del Sud</t>
  </si>
  <si>
    <t>PS</t>
  </si>
  <si>
    <t>Territori Palestinesi Occupati</t>
  </si>
  <si>
    <t>TH</t>
  </si>
  <si>
    <t>TL</t>
  </si>
  <si>
    <t>TG</t>
  </si>
  <si>
    <t>TK</t>
  </si>
  <si>
    <t>Tokelau</t>
  </si>
  <si>
    <t>TO</t>
  </si>
  <si>
    <t>TT</t>
  </si>
  <si>
    <t>TN</t>
  </si>
  <si>
    <t>TR</t>
  </si>
  <si>
    <t>TM</t>
  </si>
  <si>
    <t>TV</t>
  </si>
  <si>
    <t>UA</t>
  </si>
  <si>
    <t>UG</t>
  </si>
  <si>
    <t>HU</t>
  </si>
  <si>
    <t>UY</t>
  </si>
  <si>
    <t>UZ</t>
  </si>
  <si>
    <t>VU</t>
  </si>
  <si>
    <t>VE</t>
  </si>
  <si>
    <t>VN</t>
  </si>
  <si>
    <t>WF</t>
  </si>
  <si>
    <t>Wallis e Futuna</t>
  </si>
  <si>
    <t>YE</t>
  </si>
  <si>
    <t>ZM</t>
  </si>
  <si>
    <t>ZW</t>
  </si>
  <si>
    <r>
      <t xml:space="preserve">EL </t>
    </r>
    <r>
      <rPr>
        <strike/>
        <sz val="11"/>
        <rFont val="Calibri"/>
        <family val="2"/>
        <scheme val="minor"/>
      </rPr>
      <t>GR</t>
    </r>
  </si>
  <si>
    <t>WW</t>
  </si>
  <si>
    <t>Vari worldwide</t>
  </si>
  <si>
    <t>Sigla Paese</t>
  </si>
  <si>
    <t>EATME SRL</t>
  </si>
  <si>
    <t>VDB Frozen Food Production</t>
  </si>
  <si>
    <t>UNIONTRADE SPA</t>
  </si>
  <si>
    <t>PANIKE - INDUSTRIA DE PRODUTOS ALIMENTARES CONGELAD</t>
  </si>
  <si>
    <t>Pastel de Nata</t>
  </si>
  <si>
    <t>Carpacci di mare</t>
  </si>
  <si>
    <t>80/150g x 10pz</t>
  </si>
  <si>
    <t>MEDIA</t>
  </si>
  <si>
    <t>SICILY FOOD SRL (MANCUSO)</t>
  </si>
  <si>
    <t>FFF Fresh &amp; Frozen Food AG</t>
  </si>
  <si>
    <t>in attesa feedback finale cliente</t>
  </si>
  <si>
    <t>Dessert freschi</t>
  </si>
  <si>
    <t>73/75g</t>
  </si>
  <si>
    <t>Pronto</t>
  </si>
  <si>
    <t>SAR CONSULTING SRL (MANCUSO)</t>
  </si>
  <si>
    <t xml:space="preserve">BERTHOLD CASITALIANA
per NEGRINI - CORTE IGLES </t>
  </si>
  <si>
    <t>73/75g x 2pz</t>
  </si>
  <si>
    <t>horeca / retail</t>
  </si>
  <si>
    <t>BASSA</t>
  </si>
  <si>
    <t>BERTHOLD CASITALIANA 
per ALIMENTALY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</si>
</sst>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20"/>
      <name val="Calibri"/>
    </font>
    <font>
      <b/>
      <sz val="14"/>
      <color rgb="FFFFFFFF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trike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6F61"/>
        <bgColor rgb="FFFF6F61"/>
      </patternFill>
    </fill>
    <fill>
      <patternFill patternType="solid">
        <fgColor rgb="FF6B5B95"/>
        <bgColor rgb="FF6B5B95"/>
      </patternFill>
    </fill>
    <fill>
      <patternFill patternType="solid">
        <fgColor rgb="FF88B04B"/>
        <bgColor rgb="FF88B04B"/>
      </patternFill>
    </fill>
    <fill>
      <patternFill patternType="solid">
        <fgColor rgb="FFF7CAC9"/>
        <bgColor rgb="FFF7CAC9"/>
      </patternFill>
    </fill>
    <fill>
      <patternFill patternType="solid">
        <fgColor rgb="FF92A8D1"/>
        <bgColor rgb="FF92A8D1"/>
      </patternFill>
    </fill>
    <fill>
      <patternFill patternType="solid">
        <fgColor rgb="FFFFA500"/>
        <bgColor rgb="FFFFA500"/>
      </patternFill>
    </fill>
    <fill>
      <patternFill patternType="solid">
        <fgColor rgb="FF4CAF50"/>
        <bgColor rgb="FF4CAF50"/>
      </patternFill>
    </fill>
    <fill>
      <patternFill patternType="solid">
        <fgColor rgb="FF955251"/>
        <bgColor rgb="FF955251"/>
      </patternFill>
    </fill>
    <fill>
      <patternFill patternType="solid">
        <fgColor rgb="FF607D8B"/>
        <bgColor rgb="FF607D8B"/>
      </patternFill>
    </fill>
    <fill>
      <patternFill patternType="solid">
        <fgColor rgb="FFB565A7"/>
        <bgColor rgb="FFB565A7"/>
      </patternFill>
    </fill>
    <fill>
      <patternFill patternType="solid">
        <fgColor rgb="FF92D050"/>
        <bgColor rgb="FF4CAF50"/>
      </patternFill>
    </fill>
  </fills>
  <borders count="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0" borderId="0" xfId="0" applyFont="1"/>
    <xf numFmtId="14" fontId="0" fillId="0" borderId="0" xfId="0" applyNumberFormat="1"/>
    <xf numFmtId="0" fontId="1" fillId="1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5" fillId="0" borderId="7" xfId="1" applyFont="1" applyFill="1" applyBorder="1" applyAlignment="1">
      <alignment horizontal="center" vertical="center"/>
    </xf>
    <xf numFmtId="49" fontId="6" fillId="0" borderId="6" xfId="1" applyNumberFormat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vertical="center"/>
    </xf>
    <xf numFmtId="49" fontId="6" fillId="0" borderId="4" xfId="1" applyNumberFormat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vertical="center"/>
    </xf>
    <xf numFmtId="49" fontId="6" fillId="0" borderId="4" xfId="1" quotePrefix="1" applyNumberFormat="1" applyFont="1" applyFill="1" applyBorder="1" applyAlignment="1">
      <alignment horizontal="center" vertical="center"/>
    </xf>
    <xf numFmtId="49" fontId="6" fillId="0" borderId="2" xfId="1" applyNumberFormat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vertical="center"/>
    </xf>
    <xf numFmtId="0" fontId="0" fillId="0" borderId="0" xfId="0" applyAlignment="1">
      <alignment wrapText="1"/>
    </xf>
  </cellXfs>
  <cellStyles count="2">
    <cellStyle name="Normale" xfId="0" builtinId="0"/>
    <cellStyle name="Normale 2" xfId="1" xr:uid="{0718490D-7767-4F5D-A2CF-6752C377A1A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abSelected="1" workbookViewId="0">
      <selection activeCell="G10" sqref="G10"/>
    </sheetView>
  </sheetViews>
  <sheetFormatPr defaultRowHeight="15" x14ac:dyDescent="0.25"/>
  <cols>
    <col min="1" max="1" width="28" customWidth="1"/>
    <col min="2" max="2" width="20" customWidth="1"/>
    <col min="3" max="3" width="13.85546875" bestFit="1" customWidth="1"/>
    <col min="4" max="4" width="25.42578125" bestFit="1" customWidth="1"/>
    <col min="5" max="6" width="18.5703125" style="15" hidden="1" customWidth="1"/>
    <col min="7" max="7" width="22" customWidth="1"/>
    <col min="8" max="8" width="16" customWidth="1"/>
    <col min="9" max="9" width="56" bestFit="1" customWidth="1"/>
    <col min="10" max="10" width="26.7109375" bestFit="1" customWidth="1"/>
    <col min="11" max="11" width="24.28515625" bestFit="1" customWidth="1"/>
    <col min="12" max="12" width="32.28515625" bestFit="1" customWidth="1"/>
    <col min="13" max="13" width="82.42578125" customWidth="1"/>
  </cols>
  <sheetData>
    <row r="1" spans="1:13" ht="38.1" customHeight="1" x14ac:dyDescent="0.25">
      <c r="A1" s="1" t="s">
        <v>0</v>
      </c>
      <c r="B1" s="2" t="s">
        <v>1</v>
      </c>
      <c r="C1" s="3" t="s">
        <v>2</v>
      </c>
      <c r="D1" s="13" t="s">
        <v>39</v>
      </c>
      <c r="E1" s="13" t="s">
        <v>535</v>
      </c>
      <c r="F1" s="13" t="s">
        <v>40</v>
      </c>
      <c r="G1" s="4" t="s">
        <v>3</v>
      </c>
      <c r="H1" s="5" t="s">
        <v>4</v>
      </c>
      <c r="I1" s="6" t="s">
        <v>5</v>
      </c>
      <c r="J1" s="12" t="s">
        <v>27</v>
      </c>
      <c r="K1" s="7" t="s">
        <v>6</v>
      </c>
      <c r="L1" s="8" t="s">
        <v>7</v>
      </c>
      <c r="M1" s="9" t="s">
        <v>8</v>
      </c>
    </row>
    <row r="2" spans="1:13" ht="38.1" customHeight="1" x14ac:dyDescent="0.25">
      <c r="A2" t="s">
        <v>33</v>
      </c>
      <c r="C2" t="s">
        <v>16</v>
      </c>
      <c r="D2" t="s">
        <v>17</v>
      </c>
      <c r="E2" s="15" t="s">
        <v>533</v>
      </c>
      <c r="F2" s="14" t="str">
        <f>VLOOKUP(E2,Paesi!A:B,2,0)</f>
        <v>Vari worldwide</v>
      </c>
      <c r="G2" t="s">
        <v>10</v>
      </c>
      <c r="H2" t="s">
        <v>31</v>
      </c>
      <c r="I2" t="s">
        <v>37</v>
      </c>
      <c r="J2" t="s">
        <v>22</v>
      </c>
      <c r="K2" t="s">
        <v>18</v>
      </c>
      <c r="L2" s="11">
        <v>46115</v>
      </c>
      <c r="M2" t="s">
        <v>19</v>
      </c>
    </row>
    <row r="3" spans="1:13" ht="38.1" customHeight="1" x14ac:dyDescent="0.25">
      <c r="A3" t="s">
        <v>34</v>
      </c>
      <c r="C3" t="s">
        <v>20</v>
      </c>
      <c r="D3" t="s">
        <v>21</v>
      </c>
      <c r="E3" s="15" t="s">
        <v>489</v>
      </c>
      <c r="F3" s="14" t="str">
        <f>VLOOKUP(E3,Paesi!A:B,2,0)</f>
        <v>Stati Uniti d'America</v>
      </c>
      <c r="G3" t="s">
        <v>10</v>
      </c>
      <c r="H3" s="14" t="s">
        <v>31</v>
      </c>
      <c r="I3" t="s">
        <v>22</v>
      </c>
      <c r="J3" t="s">
        <v>38</v>
      </c>
      <c r="K3" t="s">
        <v>18</v>
      </c>
      <c r="L3" s="11">
        <v>46115</v>
      </c>
      <c r="M3" t="s">
        <v>23</v>
      </c>
    </row>
    <row r="4" spans="1:13" ht="38.1" customHeight="1" x14ac:dyDescent="0.25">
      <c r="A4" t="s">
        <v>35</v>
      </c>
      <c r="C4" t="s">
        <v>24</v>
      </c>
      <c r="D4" t="s">
        <v>17</v>
      </c>
      <c r="E4" s="15" t="s">
        <v>533</v>
      </c>
      <c r="F4" s="14" t="str">
        <f>VLOOKUP(E4,Paesi!A:B,2,0)</f>
        <v>Vari worldwide</v>
      </c>
      <c r="G4" t="s">
        <v>9</v>
      </c>
      <c r="H4" t="s">
        <v>543</v>
      </c>
      <c r="I4" t="s">
        <v>22</v>
      </c>
      <c r="J4" t="s">
        <v>22</v>
      </c>
      <c r="K4" t="s">
        <v>18</v>
      </c>
      <c r="L4" s="11">
        <v>46115</v>
      </c>
      <c r="M4" t="s">
        <v>25</v>
      </c>
    </row>
    <row r="5" spans="1:13" ht="38.1" customHeight="1" x14ac:dyDescent="0.25">
      <c r="A5" t="s">
        <v>36</v>
      </c>
      <c r="C5" t="s">
        <v>18</v>
      </c>
      <c r="D5" t="s">
        <v>21</v>
      </c>
      <c r="E5" s="15" t="s">
        <v>533</v>
      </c>
      <c r="F5" s="14" t="str">
        <f>VLOOKUP(E5,Paesi!A:B,2,0)</f>
        <v>Vari worldwide</v>
      </c>
      <c r="G5" t="s">
        <v>9</v>
      </c>
      <c r="H5" t="s">
        <v>554</v>
      </c>
      <c r="I5" t="s">
        <v>536</v>
      </c>
      <c r="J5" t="s">
        <v>22</v>
      </c>
      <c r="K5" t="s">
        <v>18</v>
      </c>
      <c r="L5" s="11">
        <v>46115</v>
      </c>
      <c r="M5" t="s">
        <v>26</v>
      </c>
    </row>
    <row r="6" spans="1:13" ht="38.1" customHeight="1" x14ac:dyDescent="0.25">
      <c r="A6" t="s">
        <v>30</v>
      </c>
      <c r="C6" t="s">
        <v>29</v>
      </c>
      <c r="D6" t="s">
        <v>21</v>
      </c>
      <c r="E6" s="15" t="s">
        <v>247</v>
      </c>
      <c r="F6" s="14" t="str">
        <f>VLOOKUP(E6,Paesi!A:B,2,0)</f>
        <v>Belgio</v>
      </c>
      <c r="G6" t="s">
        <v>10</v>
      </c>
      <c r="H6" s="14" t="s">
        <v>31</v>
      </c>
      <c r="I6" t="s">
        <v>18</v>
      </c>
      <c r="J6" t="s">
        <v>537</v>
      </c>
      <c r="K6" t="s">
        <v>18</v>
      </c>
      <c r="L6" s="11">
        <v>46115</v>
      </c>
      <c r="M6" t="s">
        <v>28</v>
      </c>
    </row>
    <row r="7" spans="1:13" ht="38.1" customHeight="1" x14ac:dyDescent="0.25">
      <c r="A7" t="s">
        <v>540</v>
      </c>
      <c r="D7" t="s">
        <v>21</v>
      </c>
      <c r="E7" s="15" t="s">
        <v>368</v>
      </c>
      <c r="F7" s="14" t="str">
        <f>VLOOKUP(E7,Paesi!A:B,2,0)</f>
        <v>Italia</v>
      </c>
      <c r="G7" t="s">
        <v>10</v>
      </c>
      <c r="H7" s="14" t="s">
        <v>31</v>
      </c>
      <c r="I7" t="s">
        <v>539</v>
      </c>
      <c r="J7" t="s">
        <v>538</v>
      </c>
      <c r="L7" s="11">
        <v>46115</v>
      </c>
      <c r="M7" t="s">
        <v>32</v>
      </c>
    </row>
    <row r="8" spans="1:13" ht="38.1" customHeight="1" x14ac:dyDescent="0.25">
      <c r="A8" t="s">
        <v>541</v>
      </c>
      <c r="C8" t="s">
        <v>542</v>
      </c>
      <c r="D8" s="14" t="s">
        <v>21</v>
      </c>
      <c r="E8" s="15" t="s">
        <v>497</v>
      </c>
      <c r="F8" s="14" t="str">
        <f>VLOOKUP(E8,Paesi!A:B,2,0)</f>
        <v>Svizzera</v>
      </c>
      <c r="G8" t="s">
        <v>549</v>
      </c>
      <c r="H8" s="14" t="s">
        <v>543</v>
      </c>
      <c r="I8" t="s">
        <v>544</v>
      </c>
      <c r="J8" s="24" t="s">
        <v>545</v>
      </c>
      <c r="L8" s="11">
        <v>46104</v>
      </c>
      <c r="M8" t="s">
        <v>546</v>
      </c>
    </row>
    <row r="9" spans="1:13" ht="38.1" customHeight="1" x14ac:dyDescent="0.25">
      <c r="A9" t="s">
        <v>547</v>
      </c>
      <c r="C9" t="s">
        <v>548</v>
      </c>
      <c r="D9" s="14" t="s">
        <v>21</v>
      </c>
      <c r="E9" s="15" t="s">
        <v>485</v>
      </c>
      <c r="F9" s="14" t="str">
        <f>VLOOKUP(E9,Paesi!A:B,2,0)</f>
        <v>Spagna</v>
      </c>
      <c r="G9" t="s">
        <v>549</v>
      </c>
      <c r="H9" s="14" t="s">
        <v>543</v>
      </c>
      <c r="I9" t="s">
        <v>550</v>
      </c>
      <c r="J9" s="24" t="s">
        <v>551</v>
      </c>
      <c r="L9" s="11">
        <v>46097</v>
      </c>
      <c r="M9" s="14" t="s">
        <v>546</v>
      </c>
    </row>
    <row r="10" spans="1:13" ht="38.1" customHeight="1" x14ac:dyDescent="0.25">
      <c r="A10" s="14" t="s">
        <v>547</v>
      </c>
      <c r="C10" s="14" t="s">
        <v>552</v>
      </c>
      <c r="D10" s="14" t="s">
        <v>553</v>
      </c>
      <c r="E10" s="15" t="s">
        <v>298</v>
      </c>
      <c r="F10" s="14" t="str">
        <f>VLOOKUP(E10,Paesi!A:B,2,0)</f>
        <v>Germania</v>
      </c>
      <c r="G10" s="14" t="s">
        <v>549</v>
      </c>
      <c r="H10" s="14" t="s">
        <v>543</v>
      </c>
      <c r="I10" s="14" t="s">
        <v>550</v>
      </c>
      <c r="J10" s="24" t="s">
        <v>555</v>
      </c>
      <c r="L10" s="11">
        <v>46113</v>
      </c>
      <c r="M10" s="14" t="s">
        <v>546</v>
      </c>
    </row>
    <row r="11" spans="1:13" ht="38.1" customHeight="1" x14ac:dyDescent="0.25"/>
    <row r="12" spans="1:13" ht="38.1" customHeight="1" x14ac:dyDescent="0.25"/>
    <row r="13" spans="1:13" ht="38.1" customHeight="1" x14ac:dyDescent="0.25"/>
    <row r="14" spans="1:13" ht="38.1" customHeight="1" x14ac:dyDescent="0.25"/>
    <row r="15" spans="1:13" ht="38.1" customHeight="1" x14ac:dyDescent="0.25"/>
    <row r="16" spans="1:13" ht="38.1" customHeight="1" x14ac:dyDescent="0.25"/>
    <row r="17" ht="38.1" customHeight="1" x14ac:dyDescent="0.25"/>
    <row r="18" ht="38.1" customHeight="1" x14ac:dyDescent="0.25"/>
    <row r="19" ht="38.1" customHeight="1" x14ac:dyDescent="0.25"/>
    <row r="20" ht="38.1" customHeight="1" x14ac:dyDescent="0.25"/>
    <row r="21" ht="38.1" customHeight="1" x14ac:dyDescent="0.25"/>
    <row r="22" ht="38.1" customHeight="1" x14ac:dyDescent="0.25"/>
    <row r="23" ht="38.1" customHeight="1" x14ac:dyDescent="0.25"/>
    <row r="24" ht="38.1" customHeight="1" x14ac:dyDescent="0.25"/>
    <row r="25" ht="38.1" customHeight="1" x14ac:dyDescent="0.25"/>
    <row r="26" ht="38.1" customHeight="1" x14ac:dyDescent="0.25"/>
    <row r="27" ht="38.1" customHeight="1" x14ac:dyDescent="0.25"/>
    <row r="28" ht="38.1" customHeight="1" x14ac:dyDescent="0.25"/>
    <row r="29" ht="38.1" customHeight="1" x14ac:dyDescent="0.25"/>
    <row r="30" ht="38.1" customHeight="1" x14ac:dyDescent="0.25"/>
    <row r="31" ht="38.1" customHeight="1" x14ac:dyDescent="0.25"/>
    <row r="32" ht="38.1" customHeight="1" x14ac:dyDescent="0.25"/>
    <row r="33" ht="38.1" customHeight="1" x14ac:dyDescent="0.25"/>
    <row r="34" ht="38.1" customHeight="1" x14ac:dyDescent="0.25"/>
    <row r="35" ht="38.1" customHeight="1" x14ac:dyDescent="0.25"/>
    <row r="36" ht="38.1" customHeight="1" x14ac:dyDescent="0.25"/>
    <row r="37" ht="38.1" customHeight="1" x14ac:dyDescent="0.25"/>
    <row r="38" ht="38.1" customHeight="1" x14ac:dyDescent="0.25"/>
    <row r="39" ht="38.1" customHeight="1" x14ac:dyDescent="0.25"/>
    <row r="40" ht="38.1" customHeight="1" x14ac:dyDescent="0.25"/>
    <row r="41" ht="38.1" customHeight="1" x14ac:dyDescent="0.25"/>
    <row r="42" ht="38.1" customHeight="1" x14ac:dyDescent="0.25"/>
    <row r="43" ht="38.1" customHeight="1" x14ac:dyDescent="0.25"/>
    <row r="44" ht="38.1" customHeight="1" x14ac:dyDescent="0.25"/>
    <row r="45" ht="38.1" customHeight="1" x14ac:dyDescent="0.25"/>
    <row r="46" ht="38.1" customHeight="1" x14ac:dyDescent="0.25"/>
    <row r="47" ht="38.1" customHeight="1" x14ac:dyDescent="0.25"/>
    <row r="48" ht="38.1" customHeight="1" x14ac:dyDescent="0.25"/>
    <row r="49" ht="38.1" customHeight="1" x14ac:dyDescent="0.25"/>
  </sheetData>
  <autoFilter ref="A1:M1" xr:uid="{00000000-0001-0000-0000-000000000000}"/>
  <dataValidations count="4">
    <dataValidation type="list" allowBlank="1" sqref="H2:H200" xr:uid="{00000000-0002-0000-0000-000000000000}">
      <formula1>"ALTA,MEDIA,BASSA"</formula1>
    </dataValidation>
    <dataValidation type="list" allowBlank="1" sqref="G2:G300" xr:uid="{00000000-0002-0000-0000-000001000000}">
      <formula1>"Idea,In sviluppo,Test,Pronto"</formula1>
    </dataValidation>
    <dataValidation type="list" allowBlank="1" showInputMessage="1" showErrorMessage="1" sqref="D2:D9" xr:uid="{1FD380EF-C79F-46F5-917E-D67DFF7B689B}">
      <formula1>$D$2:$D$7</formula1>
    </dataValidation>
    <dataValidation type="list" allowBlank="1" showInputMessage="1" showErrorMessage="1" sqref="D10" xr:uid="{090D53B2-CABE-4EA7-92F3-5D101314FCCD}">
      <formula1>$D$2:$D$11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520789F-D329-45F5-A640-1DD972E2669C}">
          <x14:formula1>
            <xm:f>Paesi!$A$2:$A$247</xm:f>
          </x14:formula1>
          <xm:sqref>E2:E12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5"/>
  <cols>
    <col min="1" max="1" width="30" customWidth="1"/>
    <col min="2" max="2" width="20" customWidth="1"/>
  </cols>
  <sheetData>
    <row r="1" spans="1:2" ht="26.25" x14ac:dyDescent="0.4">
      <c r="A1" s="10" t="s">
        <v>11</v>
      </c>
    </row>
    <row r="3" spans="1:2" x14ac:dyDescent="0.25">
      <c r="A3" t="s">
        <v>12</v>
      </c>
      <c r="B3">
        <f>COUNTA(Progetti!A2:A100)</f>
        <v>9</v>
      </c>
    </row>
    <row r="5" spans="1:2" x14ac:dyDescent="0.25">
      <c r="A5" t="s">
        <v>13</v>
      </c>
      <c r="B5">
        <f>COUNTIF(Progetti!G2:G100,"Pronto")</f>
        <v>3</v>
      </c>
    </row>
    <row r="7" spans="1:2" x14ac:dyDescent="0.25">
      <c r="A7" t="s">
        <v>14</v>
      </c>
      <c r="B7">
        <f>COUNTIF(Progetti!H2:H100,"Alta 🔴")</f>
        <v>0</v>
      </c>
    </row>
    <row r="9" spans="1:2" x14ac:dyDescent="0.25">
      <c r="A9" t="s">
        <v>15</v>
      </c>
      <c r="B9">
        <f>COUNTIF(Progetti!G2:G100,"In sviluppo")</f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3966E-606D-4772-B5E3-784C8FD2938F}">
  <dimension ref="A1:B248"/>
  <sheetViews>
    <sheetView topLeftCell="A201" workbookViewId="0">
      <selection activeCell="K228" sqref="K228"/>
    </sheetView>
  </sheetViews>
  <sheetFormatPr defaultRowHeight="15" x14ac:dyDescent="0.25"/>
  <cols>
    <col min="1" max="1" width="11.5703125" bestFit="1" customWidth="1"/>
    <col min="2" max="2" width="41.7109375" bestFit="1" customWidth="1"/>
  </cols>
  <sheetData>
    <row r="1" spans="1:2" ht="15.75" thickBot="1" x14ac:dyDescent="0.3">
      <c r="A1" s="16" t="s">
        <v>220</v>
      </c>
      <c r="B1" s="16" t="s">
        <v>221</v>
      </c>
    </row>
    <row r="2" spans="1:2" x14ac:dyDescent="0.25">
      <c r="A2" s="17" t="s">
        <v>222</v>
      </c>
      <c r="B2" s="18" t="s">
        <v>75</v>
      </c>
    </row>
    <row r="3" spans="1:2" x14ac:dyDescent="0.25">
      <c r="A3" s="19" t="s">
        <v>223</v>
      </c>
      <c r="B3" s="20" t="s">
        <v>163</v>
      </c>
    </row>
    <row r="4" spans="1:2" x14ac:dyDescent="0.25">
      <c r="A4" s="19" t="s">
        <v>224</v>
      </c>
      <c r="B4" s="20" t="s">
        <v>72</v>
      </c>
    </row>
    <row r="5" spans="1:2" x14ac:dyDescent="0.25">
      <c r="A5" s="19" t="s">
        <v>225</v>
      </c>
      <c r="B5" s="20" t="s">
        <v>209</v>
      </c>
    </row>
    <row r="6" spans="1:2" x14ac:dyDescent="0.25">
      <c r="A6" s="19" t="s">
        <v>226</v>
      </c>
      <c r="B6" s="20" t="s">
        <v>82</v>
      </c>
    </row>
    <row r="7" spans="1:2" x14ac:dyDescent="0.25">
      <c r="A7" s="19" t="s">
        <v>227</v>
      </c>
      <c r="B7" s="20" t="s">
        <v>228</v>
      </c>
    </row>
    <row r="8" spans="1:2" x14ac:dyDescent="0.25">
      <c r="A8" s="19" t="s">
        <v>229</v>
      </c>
      <c r="B8" s="20" t="s">
        <v>230</v>
      </c>
    </row>
    <row r="9" spans="1:2" x14ac:dyDescent="0.25">
      <c r="A9" s="19" t="s">
        <v>231</v>
      </c>
      <c r="B9" s="20" t="s">
        <v>208</v>
      </c>
    </row>
    <row r="10" spans="1:2" x14ac:dyDescent="0.25">
      <c r="A10" s="19" t="s">
        <v>232</v>
      </c>
      <c r="B10" s="20" t="s">
        <v>233</v>
      </c>
    </row>
    <row r="11" spans="1:2" x14ac:dyDescent="0.25">
      <c r="A11" s="19" t="s">
        <v>234</v>
      </c>
      <c r="B11" s="20" t="s">
        <v>79</v>
      </c>
    </row>
    <row r="12" spans="1:2" x14ac:dyDescent="0.25">
      <c r="A12" s="19" t="s">
        <v>235</v>
      </c>
      <c r="B12" s="20" t="s">
        <v>70</v>
      </c>
    </row>
    <row r="13" spans="1:2" x14ac:dyDescent="0.25">
      <c r="A13" s="19" t="s">
        <v>236</v>
      </c>
      <c r="B13" s="20" t="s">
        <v>162</v>
      </c>
    </row>
    <row r="14" spans="1:2" x14ac:dyDescent="0.25">
      <c r="A14" s="19" t="s">
        <v>237</v>
      </c>
      <c r="B14" s="20" t="s">
        <v>238</v>
      </c>
    </row>
    <row r="15" spans="1:2" x14ac:dyDescent="0.25">
      <c r="A15" s="19" t="s">
        <v>239</v>
      </c>
      <c r="B15" s="20" t="s">
        <v>90</v>
      </c>
    </row>
    <row r="16" spans="1:2" x14ac:dyDescent="0.25">
      <c r="A16" s="19" t="s">
        <v>240</v>
      </c>
      <c r="B16" s="20" t="s">
        <v>130</v>
      </c>
    </row>
    <row r="17" spans="1:2" x14ac:dyDescent="0.25">
      <c r="A17" s="19" t="s">
        <v>241</v>
      </c>
      <c r="B17" s="20" t="s">
        <v>123</v>
      </c>
    </row>
    <row r="18" spans="1:2" x14ac:dyDescent="0.25">
      <c r="A18" s="19" t="s">
        <v>242</v>
      </c>
      <c r="B18" s="20" t="s">
        <v>196</v>
      </c>
    </row>
    <row r="19" spans="1:2" x14ac:dyDescent="0.25">
      <c r="A19" s="19" t="s">
        <v>243</v>
      </c>
      <c r="B19" s="20" t="s">
        <v>244</v>
      </c>
    </row>
    <row r="20" spans="1:2" x14ac:dyDescent="0.25">
      <c r="A20" s="19" t="s">
        <v>245</v>
      </c>
      <c r="B20" s="20" t="s">
        <v>47</v>
      </c>
    </row>
    <row r="21" spans="1:2" x14ac:dyDescent="0.25">
      <c r="A21" s="19" t="s">
        <v>246</v>
      </c>
      <c r="B21" s="20" t="s">
        <v>200</v>
      </c>
    </row>
    <row r="22" spans="1:2" x14ac:dyDescent="0.25">
      <c r="A22" s="19" t="s">
        <v>247</v>
      </c>
      <c r="B22" s="20" t="s">
        <v>117</v>
      </c>
    </row>
    <row r="23" spans="1:2" x14ac:dyDescent="0.25">
      <c r="A23" s="19" t="s">
        <v>248</v>
      </c>
      <c r="B23" s="20" t="s">
        <v>195</v>
      </c>
    </row>
    <row r="24" spans="1:2" x14ac:dyDescent="0.25">
      <c r="A24" s="19" t="s">
        <v>249</v>
      </c>
      <c r="B24" s="20" t="s">
        <v>113</v>
      </c>
    </row>
    <row r="25" spans="1:2" x14ac:dyDescent="0.25">
      <c r="A25" s="19" t="s">
        <v>250</v>
      </c>
      <c r="B25" s="20" t="s">
        <v>251</v>
      </c>
    </row>
    <row r="26" spans="1:2" x14ac:dyDescent="0.25">
      <c r="A26" s="19" t="s">
        <v>252</v>
      </c>
      <c r="B26" s="20" t="s">
        <v>185</v>
      </c>
    </row>
    <row r="27" spans="1:2" x14ac:dyDescent="0.25">
      <c r="A27" s="19" t="s">
        <v>253</v>
      </c>
      <c r="B27" s="20" t="s">
        <v>125</v>
      </c>
    </row>
    <row r="28" spans="1:2" x14ac:dyDescent="0.25">
      <c r="A28" s="19" t="s">
        <v>254</v>
      </c>
      <c r="B28" s="20" t="s">
        <v>65</v>
      </c>
    </row>
    <row r="29" spans="1:2" x14ac:dyDescent="0.25">
      <c r="A29" s="19" t="s">
        <v>255</v>
      </c>
      <c r="B29" s="20" t="s">
        <v>116</v>
      </c>
    </row>
    <row r="30" spans="1:2" x14ac:dyDescent="0.25">
      <c r="A30" s="19" t="s">
        <v>256</v>
      </c>
      <c r="B30" s="20" t="s">
        <v>257</v>
      </c>
    </row>
    <row r="31" spans="1:2" x14ac:dyDescent="0.25">
      <c r="A31" s="19" t="s">
        <v>258</v>
      </c>
      <c r="B31" s="20" t="s">
        <v>169</v>
      </c>
    </row>
    <row r="32" spans="1:2" x14ac:dyDescent="0.25">
      <c r="A32" s="19" t="s">
        <v>259</v>
      </c>
      <c r="B32" s="20" t="s">
        <v>46</v>
      </c>
    </row>
    <row r="33" spans="1:2" x14ac:dyDescent="0.25">
      <c r="A33" s="19" t="s">
        <v>260</v>
      </c>
      <c r="B33" s="20" t="s">
        <v>194</v>
      </c>
    </row>
    <row r="34" spans="1:2" x14ac:dyDescent="0.25">
      <c r="A34" s="19" t="s">
        <v>261</v>
      </c>
      <c r="B34" s="20" t="s">
        <v>138</v>
      </c>
    </row>
    <row r="35" spans="1:2" x14ac:dyDescent="0.25">
      <c r="A35" s="19" t="s">
        <v>262</v>
      </c>
      <c r="B35" s="20" t="s">
        <v>95</v>
      </c>
    </row>
    <row r="36" spans="1:2" x14ac:dyDescent="0.25">
      <c r="A36" s="19" t="s">
        <v>263</v>
      </c>
      <c r="B36" s="20" t="s">
        <v>112</v>
      </c>
    </row>
    <row r="37" spans="1:2" x14ac:dyDescent="0.25">
      <c r="A37" s="19" t="s">
        <v>264</v>
      </c>
      <c r="B37" s="20" t="s">
        <v>109</v>
      </c>
    </row>
    <row r="38" spans="1:2" x14ac:dyDescent="0.25">
      <c r="A38" s="19" t="s">
        <v>265</v>
      </c>
      <c r="B38" s="20" t="s">
        <v>92</v>
      </c>
    </row>
    <row r="39" spans="1:2" x14ac:dyDescent="0.25">
      <c r="A39" s="19" t="s">
        <v>266</v>
      </c>
      <c r="B39" s="20" t="s">
        <v>76</v>
      </c>
    </row>
    <row r="40" spans="1:2" x14ac:dyDescent="0.25">
      <c r="A40" s="19" t="s">
        <v>267</v>
      </c>
      <c r="B40" s="20" t="s">
        <v>192</v>
      </c>
    </row>
    <row r="41" spans="1:2" x14ac:dyDescent="0.25">
      <c r="A41" s="19" t="s">
        <v>268</v>
      </c>
      <c r="B41" s="20" t="s">
        <v>106</v>
      </c>
    </row>
    <row r="42" spans="1:2" x14ac:dyDescent="0.25">
      <c r="A42" s="19" t="s">
        <v>269</v>
      </c>
      <c r="B42" s="20" t="s">
        <v>97</v>
      </c>
    </row>
    <row r="43" spans="1:2" x14ac:dyDescent="0.25">
      <c r="A43" s="19" t="s">
        <v>270</v>
      </c>
      <c r="B43" s="20" t="s">
        <v>41</v>
      </c>
    </row>
    <row r="44" spans="1:2" x14ac:dyDescent="0.25">
      <c r="A44" s="19" t="s">
        <v>271</v>
      </c>
      <c r="B44" s="20" t="s">
        <v>183</v>
      </c>
    </row>
    <row r="45" spans="1:2" x14ac:dyDescent="0.25">
      <c r="A45" s="19" t="s">
        <v>272</v>
      </c>
      <c r="B45" s="20" t="s">
        <v>219</v>
      </c>
    </row>
    <row r="46" spans="1:2" x14ac:dyDescent="0.25">
      <c r="A46" s="19" t="s">
        <v>273</v>
      </c>
      <c r="B46" s="20" t="s">
        <v>66</v>
      </c>
    </row>
    <row r="47" spans="1:2" x14ac:dyDescent="0.25">
      <c r="A47" s="19" t="s">
        <v>274</v>
      </c>
      <c r="B47" s="20" t="s">
        <v>184</v>
      </c>
    </row>
    <row r="48" spans="1:2" x14ac:dyDescent="0.25">
      <c r="A48" s="19" t="s">
        <v>275</v>
      </c>
      <c r="B48" s="20" t="s">
        <v>91</v>
      </c>
    </row>
    <row r="49" spans="1:2" x14ac:dyDescent="0.25">
      <c r="A49" s="19" t="s">
        <v>276</v>
      </c>
      <c r="B49" s="20" t="s">
        <v>67</v>
      </c>
    </row>
    <row r="50" spans="1:2" x14ac:dyDescent="0.25">
      <c r="A50" s="19" t="s">
        <v>277</v>
      </c>
      <c r="B50" s="20" t="s">
        <v>88</v>
      </c>
    </row>
    <row r="51" spans="1:2" x14ac:dyDescent="0.25">
      <c r="A51" s="19" t="s">
        <v>278</v>
      </c>
      <c r="B51" s="20" t="s">
        <v>151</v>
      </c>
    </row>
    <row r="52" spans="1:2" x14ac:dyDescent="0.25">
      <c r="A52" s="19" t="s">
        <v>279</v>
      </c>
      <c r="B52" s="20" t="s">
        <v>118</v>
      </c>
    </row>
    <row r="53" spans="1:2" x14ac:dyDescent="0.25">
      <c r="A53" s="19" t="s">
        <v>280</v>
      </c>
      <c r="B53" s="20" t="s">
        <v>146</v>
      </c>
    </row>
    <row r="54" spans="1:2" x14ac:dyDescent="0.25">
      <c r="A54" s="19" t="s">
        <v>281</v>
      </c>
      <c r="B54" s="20" t="s">
        <v>210</v>
      </c>
    </row>
    <row r="55" spans="1:2" x14ac:dyDescent="0.25">
      <c r="A55" s="19" t="s">
        <v>282</v>
      </c>
      <c r="B55" s="20" t="s">
        <v>102</v>
      </c>
    </row>
    <row r="56" spans="1:2" x14ac:dyDescent="0.25">
      <c r="A56" s="19" t="s">
        <v>283</v>
      </c>
      <c r="B56" s="20" t="s">
        <v>53</v>
      </c>
    </row>
    <row r="57" spans="1:2" x14ac:dyDescent="0.25">
      <c r="A57" s="19" t="s">
        <v>284</v>
      </c>
      <c r="B57" s="20" t="s">
        <v>142</v>
      </c>
    </row>
    <row r="58" spans="1:2" x14ac:dyDescent="0.25">
      <c r="A58" s="19" t="s">
        <v>285</v>
      </c>
      <c r="B58" s="20" t="s">
        <v>126</v>
      </c>
    </row>
    <row r="59" spans="1:2" x14ac:dyDescent="0.25">
      <c r="A59" s="19" t="s">
        <v>286</v>
      </c>
      <c r="B59" s="20" t="s">
        <v>159</v>
      </c>
    </row>
    <row r="60" spans="1:2" x14ac:dyDescent="0.25">
      <c r="A60" s="19" t="s">
        <v>287</v>
      </c>
      <c r="B60" s="20" t="s">
        <v>178</v>
      </c>
    </row>
    <row r="61" spans="1:2" x14ac:dyDescent="0.25">
      <c r="A61" s="19" t="s">
        <v>288</v>
      </c>
      <c r="B61" s="20" t="s">
        <v>51</v>
      </c>
    </row>
    <row r="62" spans="1:2" x14ac:dyDescent="0.25">
      <c r="A62" s="19" t="s">
        <v>289</v>
      </c>
      <c r="B62" s="20" t="s">
        <v>182</v>
      </c>
    </row>
    <row r="63" spans="1:2" x14ac:dyDescent="0.25">
      <c r="A63" s="19" t="s">
        <v>290</v>
      </c>
      <c r="B63" s="20" t="s">
        <v>52</v>
      </c>
    </row>
    <row r="64" spans="1:2" x14ac:dyDescent="0.25">
      <c r="A64" s="19" t="s">
        <v>291</v>
      </c>
      <c r="B64" s="20" t="s">
        <v>148</v>
      </c>
    </row>
    <row r="65" spans="1:2" x14ac:dyDescent="0.25">
      <c r="A65" s="19" t="s">
        <v>292</v>
      </c>
      <c r="B65" s="20" t="s">
        <v>60</v>
      </c>
    </row>
    <row r="66" spans="1:2" x14ac:dyDescent="0.25">
      <c r="A66" s="19" t="s">
        <v>293</v>
      </c>
      <c r="B66" s="20" t="s">
        <v>171</v>
      </c>
    </row>
    <row r="67" spans="1:2" x14ac:dyDescent="0.25">
      <c r="A67" s="19" t="s">
        <v>294</v>
      </c>
      <c r="B67" s="20" t="s">
        <v>170</v>
      </c>
    </row>
    <row r="68" spans="1:2" x14ac:dyDescent="0.25">
      <c r="A68" s="19" t="s">
        <v>295</v>
      </c>
      <c r="B68" s="20" t="s">
        <v>158</v>
      </c>
    </row>
    <row r="69" spans="1:2" x14ac:dyDescent="0.25">
      <c r="A69" s="19" t="s">
        <v>296</v>
      </c>
      <c r="B69" s="20" t="s">
        <v>297</v>
      </c>
    </row>
    <row r="70" spans="1:2" x14ac:dyDescent="0.25">
      <c r="A70" s="19" t="s">
        <v>298</v>
      </c>
      <c r="B70" s="20" t="s">
        <v>57</v>
      </c>
    </row>
    <row r="71" spans="1:2" x14ac:dyDescent="0.25">
      <c r="A71" s="19" t="s">
        <v>299</v>
      </c>
      <c r="B71" s="20" t="s">
        <v>83</v>
      </c>
    </row>
    <row r="72" spans="1:2" x14ac:dyDescent="0.25">
      <c r="A72" s="19" t="s">
        <v>300</v>
      </c>
      <c r="B72" s="20" t="s">
        <v>165</v>
      </c>
    </row>
    <row r="73" spans="1:2" x14ac:dyDescent="0.25">
      <c r="A73" s="19" t="s">
        <v>301</v>
      </c>
      <c r="B73" s="20" t="s">
        <v>50</v>
      </c>
    </row>
    <row r="74" spans="1:2" x14ac:dyDescent="0.25">
      <c r="A74" s="19" t="s">
        <v>302</v>
      </c>
      <c r="B74" s="20" t="s">
        <v>303</v>
      </c>
    </row>
    <row r="75" spans="1:2" x14ac:dyDescent="0.25">
      <c r="A75" s="19" t="s">
        <v>304</v>
      </c>
      <c r="B75" s="20" t="s">
        <v>181</v>
      </c>
    </row>
    <row r="76" spans="1:2" x14ac:dyDescent="0.25">
      <c r="A76" s="19" t="s">
        <v>305</v>
      </c>
      <c r="B76" s="20" t="s">
        <v>119</v>
      </c>
    </row>
    <row r="77" spans="1:2" x14ac:dyDescent="0.25">
      <c r="A77" s="21" t="s">
        <v>532</v>
      </c>
      <c r="B77" s="20" t="s">
        <v>120</v>
      </c>
    </row>
    <row r="78" spans="1:2" x14ac:dyDescent="0.25">
      <c r="A78" s="19" t="s">
        <v>306</v>
      </c>
      <c r="B78" s="20" t="s">
        <v>204</v>
      </c>
    </row>
    <row r="79" spans="1:2" x14ac:dyDescent="0.25">
      <c r="A79" s="19" t="s">
        <v>307</v>
      </c>
      <c r="B79" s="20" t="s">
        <v>308</v>
      </c>
    </row>
    <row r="80" spans="1:2" x14ac:dyDescent="0.25">
      <c r="A80" s="19" t="s">
        <v>309</v>
      </c>
      <c r="B80" s="20" t="s">
        <v>310</v>
      </c>
    </row>
    <row r="81" spans="1:2" x14ac:dyDescent="0.25">
      <c r="A81" s="19" t="s">
        <v>311</v>
      </c>
      <c r="B81" s="20" t="s">
        <v>312</v>
      </c>
    </row>
    <row r="82" spans="1:2" x14ac:dyDescent="0.25">
      <c r="A82" s="19" t="s">
        <v>313</v>
      </c>
      <c r="B82" s="20" t="s">
        <v>104</v>
      </c>
    </row>
    <row r="83" spans="1:2" x14ac:dyDescent="0.25">
      <c r="A83" s="19" t="s">
        <v>314</v>
      </c>
      <c r="B83" s="20" t="s">
        <v>315</v>
      </c>
    </row>
    <row r="84" spans="1:2" x14ac:dyDescent="0.25">
      <c r="A84" s="19" t="s">
        <v>316</v>
      </c>
      <c r="B84" s="20" t="s">
        <v>111</v>
      </c>
    </row>
    <row r="85" spans="1:2" x14ac:dyDescent="0.25">
      <c r="A85" s="19" t="s">
        <v>317</v>
      </c>
      <c r="B85" s="20" t="s">
        <v>176</v>
      </c>
    </row>
    <row r="86" spans="1:2" x14ac:dyDescent="0.25">
      <c r="A86" s="19" t="s">
        <v>318</v>
      </c>
      <c r="B86" s="20" t="s">
        <v>175</v>
      </c>
    </row>
    <row r="87" spans="1:2" x14ac:dyDescent="0.25">
      <c r="A87" s="19" t="s">
        <v>319</v>
      </c>
      <c r="B87" s="20" t="s">
        <v>186</v>
      </c>
    </row>
    <row r="88" spans="1:2" x14ac:dyDescent="0.25">
      <c r="A88" s="19" t="s">
        <v>320</v>
      </c>
      <c r="B88" s="20" t="s">
        <v>321</v>
      </c>
    </row>
    <row r="89" spans="1:2" x14ac:dyDescent="0.25">
      <c r="A89" s="19" t="s">
        <v>322</v>
      </c>
      <c r="B89" s="20" t="s">
        <v>114</v>
      </c>
    </row>
    <row r="90" spans="1:2" x14ac:dyDescent="0.25">
      <c r="A90" s="19" t="s">
        <v>323</v>
      </c>
      <c r="B90" s="20" t="s">
        <v>128</v>
      </c>
    </row>
    <row r="91" spans="1:2" x14ac:dyDescent="0.25">
      <c r="A91" s="19" t="s">
        <v>324</v>
      </c>
      <c r="B91" s="20" t="s">
        <v>135</v>
      </c>
    </row>
    <row r="92" spans="1:2" x14ac:dyDescent="0.25">
      <c r="A92" s="19" t="s">
        <v>325</v>
      </c>
      <c r="B92" s="20" t="s">
        <v>42</v>
      </c>
    </row>
    <row r="93" spans="1:2" x14ac:dyDescent="0.25">
      <c r="A93" s="19" t="s">
        <v>326</v>
      </c>
      <c r="B93" s="20" t="s">
        <v>43</v>
      </c>
    </row>
    <row r="94" spans="1:2" x14ac:dyDescent="0.25">
      <c r="A94" s="19" t="s">
        <v>327</v>
      </c>
      <c r="B94" s="20" t="s">
        <v>56</v>
      </c>
    </row>
    <row r="95" spans="1:2" x14ac:dyDescent="0.25">
      <c r="A95" s="19" t="s">
        <v>328</v>
      </c>
      <c r="B95" s="20" t="s">
        <v>74</v>
      </c>
    </row>
    <row r="96" spans="1:2" x14ac:dyDescent="0.25">
      <c r="A96" s="19" t="s">
        <v>329</v>
      </c>
      <c r="B96" s="20" t="s">
        <v>153</v>
      </c>
    </row>
    <row r="97" spans="1:2" x14ac:dyDescent="0.25">
      <c r="A97" s="19" t="s">
        <v>330</v>
      </c>
      <c r="B97" s="20" t="s">
        <v>198</v>
      </c>
    </row>
    <row r="98" spans="1:2" x14ac:dyDescent="0.25">
      <c r="A98" s="19" t="s">
        <v>331</v>
      </c>
      <c r="B98" s="20" t="s">
        <v>332</v>
      </c>
    </row>
    <row r="99" spans="1:2" x14ac:dyDescent="0.25">
      <c r="A99" s="19" t="s">
        <v>333</v>
      </c>
      <c r="B99" s="20" t="s">
        <v>334</v>
      </c>
    </row>
    <row r="100" spans="1:2" x14ac:dyDescent="0.25">
      <c r="A100" s="19" t="s">
        <v>335</v>
      </c>
      <c r="B100" s="20" t="s">
        <v>336</v>
      </c>
    </row>
    <row r="101" spans="1:2" x14ac:dyDescent="0.25">
      <c r="A101" s="19" t="s">
        <v>337</v>
      </c>
      <c r="B101" s="20" t="s">
        <v>338</v>
      </c>
    </row>
    <row r="102" spans="1:2" x14ac:dyDescent="0.25">
      <c r="A102" s="19" t="s">
        <v>339</v>
      </c>
      <c r="B102" s="20" t="s">
        <v>340</v>
      </c>
    </row>
    <row r="103" spans="1:2" x14ac:dyDescent="0.25">
      <c r="A103" s="19" t="s">
        <v>341</v>
      </c>
      <c r="B103" s="20" t="s">
        <v>342</v>
      </c>
    </row>
    <row r="104" spans="1:2" x14ac:dyDescent="0.25">
      <c r="A104" s="19" t="s">
        <v>343</v>
      </c>
      <c r="B104" s="20" t="s">
        <v>344</v>
      </c>
    </row>
    <row r="105" spans="1:2" x14ac:dyDescent="0.25">
      <c r="A105" s="19" t="s">
        <v>345</v>
      </c>
      <c r="B105" s="20" t="s">
        <v>346</v>
      </c>
    </row>
    <row r="106" spans="1:2" x14ac:dyDescent="0.25">
      <c r="A106" s="19" t="s">
        <v>347</v>
      </c>
      <c r="B106" s="20" t="s">
        <v>348</v>
      </c>
    </row>
    <row r="107" spans="1:2" x14ac:dyDescent="0.25">
      <c r="A107" s="19" t="s">
        <v>349</v>
      </c>
      <c r="B107" s="20" t="s">
        <v>350</v>
      </c>
    </row>
    <row r="108" spans="1:2" x14ac:dyDescent="0.25">
      <c r="A108" s="19" t="s">
        <v>351</v>
      </c>
      <c r="B108" s="20" t="s">
        <v>352</v>
      </c>
    </row>
    <row r="109" spans="1:2" x14ac:dyDescent="0.25">
      <c r="A109" s="19" t="s">
        <v>353</v>
      </c>
      <c r="B109" s="20" t="s">
        <v>354</v>
      </c>
    </row>
    <row r="110" spans="1:2" x14ac:dyDescent="0.25">
      <c r="A110" s="19" t="s">
        <v>355</v>
      </c>
      <c r="B110" s="20" t="s">
        <v>211</v>
      </c>
    </row>
    <row r="111" spans="1:2" x14ac:dyDescent="0.25">
      <c r="A111" s="19" t="s">
        <v>356</v>
      </c>
      <c r="B111" s="20" t="s">
        <v>357</v>
      </c>
    </row>
    <row r="112" spans="1:2" x14ac:dyDescent="0.25">
      <c r="A112" s="19" t="s">
        <v>358</v>
      </c>
      <c r="B112" s="20" t="s">
        <v>359</v>
      </c>
    </row>
    <row r="113" spans="1:2" x14ac:dyDescent="0.25">
      <c r="A113" s="19" t="s">
        <v>360</v>
      </c>
      <c r="B113" s="20" t="s">
        <v>187</v>
      </c>
    </row>
    <row r="114" spans="1:2" x14ac:dyDescent="0.25">
      <c r="A114" s="19" t="s">
        <v>361</v>
      </c>
      <c r="B114" s="20" t="s">
        <v>362</v>
      </c>
    </row>
    <row r="115" spans="1:2" x14ac:dyDescent="0.25">
      <c r="A115" s="19" t="s">
        <v>363</v>
      </c>
      <c r="B115" s="20" t="s">
        <v>364</v>
      </c>
    </row>
    <row r="116" spans="1:2" x14ac:dyDescent="0.25">
      <c r="A116" s="19" t="s">
        <v>365</v>
      </c>
      <c r="B116" s="20" t="s">
        <v>366</v>
      </c>
    </row>
    <row r="117" spans="1:2" x14ac:dyDescent="0.25">
      <c r="A117" s="19" t="s">
        <v>367</v>
      </c>
      <c r="B117" s="20" t="s">
        <v>129</v>
      </c>
    </row>
    <row r="118" spans="1:2" x14ac:dyDescent="0.25">
      <c r="A118" s="19" t="s">
        <v>368</v>
      </c>
      <c r="B118" s="20" t="s">
        <v>63</v>
      </c>
    </row>
    <row r="119" spans="1:2" x14ac:dyDescent="0.25">
      <c r="A119" s="19" t="s">
        <v>369</v>
      </c>
      <c r="B119" s="20" t="s">
        <v>370</v>
      </c>
    </row>
    <row r="120" spans="1:2" x14ac:dyDescent="0.25">
      <c r="A120" s="19" t="s">
        <v>371</v>
      </c>
      <c r="B120" s="20" t="s">
        <v>99</v>
      </c>
    </row>
    <row r="121" spans="1:2" x14ac:dyDescent="0.25">
      <c r="A121" s="19" t="s">
        <v>372</v>
      </c>
      <c r="B121" s="20" t="s">
        <v>64</v>
      </c>
    </row>
    <row r="122" spans="1:2" x14ac:dyDescent="0.25">
      <c r="A122" s="19" t="s">
        <v>373</v>
      </c>
      <c r="B122" s="20" t="s">
        <v>143</v>
      </c>
    </row>
    <row r="123" spans="1:2" x14ac:dyDescent="0.25">
      <c r="A123" s="19" t="s">
        <v>374</v>
      </c>
      <c r="B123" s="20" t="s">
        <v>203</v>
      </c>
    </row>
    <row r="124" spans="1:2" x14ac:dyDescent="0.25">
      <c r="A124" s="19" t="s">
        <v>375</v>
      </c>
      <c r="B124" s="20" t="s">
        <v>155</v>
      </c>
    </row>
    <row r="125" spans="1:2" x14ac:dyDescent="0.25">
      <c r="A125" s="19" t="s">
        <v>376</v>
      </c>
      <c r="B125" s="20" t="s">
        <v>137</v>
      </c>
    </row>
    <row r="126" spans="1:2" x14ac:dyDescent="0.25">
      <c r="A126" s="19" t="s">
        <v>377</v>
      </c>
      <c r="B126" s="20" t="s">
        <v>173</v>
      </c>
    </row>
    <row r="127" spans="1:2" x14ac:dyDescent="0.25">
      <c r="A127" s="19" t="s">
        <v>378</v>
      </c>
      <c r="B127" s="20" t="s">
        <v>174</v>
      </c>
    </row>
    <row r="128" spans="1:2" x14ac:dyDescent="0.25">
      <c r="A128" s="19" t="s">
        <v>379</v>
      </c>
      <c r="B128" s="20" t="s">
        <v>141</v>
      </c>
    </row>
    <row r="129" spans="1:2" x14ac:dyDescent="0.25">
      <c r="A129" s="19" t="s">
        <v>380</v>
      </c>
      <c r="B129" s="20" t="s">
        <v>154</v>
      </c>
    </row>
    <row r="130" spans="1:2" x14ac:dyDescent="0.25">
      <c r="A130" s="19" t="s">
        <v>381</v>
      </c>
      <c r="B130" s="20" t="s">
        <v>140</v>
      </c>
    </row>
    <row r="131" spans="1:2" x14ac:dyDescent="0.25">
      <c r="A131" s="19" t="s">
        <v>382</v>
      </c>
      <c r="B131" s="20" t="s">
        <v>213</v>
      </c>
    </row>
    <row r="132" spans="1:2" x14ac:dyDescent="0.25">
      <c r="A132" s="19" t="s">
        <v>383</v>
      </c>
      <c r="B132" s="20" t="s">
        <v>164</v>
      </c>
    </row>
    <row r="133" spans="1:2" x14ac:dyDescent="0.25">
      <c r="A133" s="19" t="s">
        <v>384</v>
      </c>
      <c r="B133" s="20" t="s">
        <v>188</v>
      </c>
    </row>
    <row r="134" spans="1:2" x14ac:dyDescent="0.25">
      <c r="A134" s="19" t="s">
        <v>385</v>
      </c>
      <c r="B134" s="20" t="s">
        <v>386</v>
      </c>
    </row>
    <row r="135" spans="1:2" x14ac:dyDescent="0.25">
      <c r="A135" s="19" t="s">
        <v>387</v>
      </c>
      <c r="B135" s="20" t="s">
        <v>388</v>
      </c>
    </row>
    <row r="136" spans="1:2" x14ac:dyDescent="0.25">
      <c r="A136" s="19" t="s">
        <v>389</v>
      </c>
      <c r="B136" s="20" t="s">
        <v>89</v>
      </c>
    </row>
    <row r="137" spans="1:2" x14ac:dyDescent="0.25">
      <c r="A137" s="19" t="s">
        <v>390</v>
      </c>
      <c r="B137" s="20" t="s">
        <v>100</v>
      </c>
    </row>
    <row r="138" spans="1:2" x14ac:dyDescent="0.25">
      <c r="A138" s="19" t="s">
        <v>391</v>
      </c>
      <c r="B138" s="20" t="s">
        <v>197</v>
      </c>
    </row>
    <row r="139" spans="1:2" x14ac:dyDescent="0.25">
      <c r="A139" s="19" t="s">
        <v>392</v>
      </c>
      <c r="B139" s="20" t="s">
        <v>393</v>
      </c>
    </row>
    <row r="140" spans="1:2" x14ac:dyDescent="0.25">
      <c r="A140" s="19" t="s">
        <v>394</v>
      </c>
      <c r="B140" s="20" t="s">
        <v>96</v>
      </c>
    </row>
    <row r="141" spans="1:2" x14ac:dyDescent="0.25">
      <c r="A141" s="19" t="s">
        <v>395</v>
      </c>
      <c r="B141" s="20" t="s">
        <v>193</v>
      </c>
    </row>
    <row r="142" spans="1:2" x14ac:dyDescent="0.25">
      <c r="A142" s="19" t="s">
        <v>396</v>
      </c>
      <c r="B142" s="20" t="s">
        <v>77</v>
      </c>
    </row>
    <row r="143" spans="1:2" x14ac:dyDescent="0.25">
      <c r="A143" s="19" t="s">
        <v>397</v>
      </c>
      <c r="B143" s="20" t="s">
        <v>398</v>
      </c>
    </row>
    <row r="144" spans="1:2" x14ac:dyDescent="0.25">
      <c r="A144" s="19" t="s">
        <v>399</v>
      </c>
      <c r="B144" s="20" t="s">
        <v>157</v>
      </c>
    </row>
    <row r="145" spans="1:2" x14ac:dyDescent="0.25">
      <c r="A145" s="19" t="s">
        <v>400</v>
      </c>
      <c r="B145" s="20" t="s">
        <v>180</v>
      </c>
    </row>
    <row r="146" spans="1:2" x14ac:dyDescent="0.25">
      <c r="A146" s="19" t="s">
        <v>401</v>
      </c>
      <c r="B146" s="20" t="s">
        <v>402</v>
      </c>
    </row>
    <row r="147" spans="1:2" x14ac:dyDescent="0.25">
      <c r="A147" s="19" t="s">
        <v>403</v>
      </c>
      <c r="B147" s="20" t="s">
        <v>49</v>
      </c>
    </row>
    <row r="148" spans="1:2" x14ac:dyDescent="0.25">
      <c r="A148" s="19" t="s">
        <v>404</v>
      </c>
      <c r="B148" s="20" t="s">
        <v>167</v>
      </c>
    </row>
    <row r="149" spans="1:2" x14ac:dyDescent="0.25">
      <c r="A149" s="19" t="s">
        <v>405</v>
      </c>
      <c r="B149" s="20" t="s">
        <v>214</v>
      </c>
    </row>
    <row r="150" spans="1:2" x14ac:dyDescent="0.25">
      <c r="A150" s="19" t="s">
        <v>406</v>
      </c>
      <c r="B150" s="20" t="s">
        <v>161</v>
      </c>
    </row>
    <row r="151" spans="1:2" x14ac:dyDescent="0.25">
      <c r="A151" s="19" t="s">
        <v>407</v>
      </c>
      <c r="B151" s="20" t="s">
        <v>189</v>
      </c>
    </row>
    <row r="152" spans="1:2" x14ac:dyDescent="0.25">
      <c r="A152" s="19" t="s">
        <v>408</v>
      </c>
      <c r="B152" s="20" t="s">
        <v>409</v>
      </c>
    </row>
    <row r="153" spans="1:2" x14ac:dyDescent="0.25">
      <c r="A153" s="19" t="s">
        <v>410</v>
      </c>
      <c r="B153" s="20" t="s">
        <v>84</v>
      </c>
    </row>
    <row r="154" spans="1:2" x14ac:dyDescent="0.25">
      <c r="A154" s="19" t="s">
        <v>411</v>
      </c>
      <c r="B154" s="20" t="s">
        <v>168</v>
      </c>
    </row>
    <row r="155" spans="1:2" x14ac:dyDescent="0.25">
      <c r="A155" s="19" t="s">
        <v>412</v>
      </c>
      <c r="B155" s="20" t="s">
        <v>217</v>
      </c>
    </row>
    <row r="156" spans="1:2" x14ac:dyDescent="0.25">
      <c r="A156" s="19" t="s">
        <v>413</v>
      </c>
      <c r="B156" s="20" t="s">
        <v>85</v>
      </c>
    </row>
    <row r="157" spans="1:2" x14ac:dyDescent="0.25">
      <c r="A157" s="19" t="s">
        <v>414</v>
      </c>
      <c r="B157" s="20" t="s">
        <v>144</v>
      </c>
    </row>
    <row r="158" spans="1:2" x14ac:dyDescent="0.25">
      <c r="A158" s="19" t="s">
        <v>415</v>
      </c>
      <c r="B158" s="20" t="s">
        <v>93</v>
      </c>
    </row>
    <row r="159" spans="1:2" x14ac:dyDescent="0.25">
      <c r="A159" s="19" t="s">
        <v>416</v>
      </c>
      <c r="B159" s="20" t="s">
        <v>45</v>
      </c>
    </row>
    <row r="160" spans="1:2" x14ac:dyDescent="0.25">
      <c r="A160" s="19" t="s">
        <v>417</v>
      </c>
      <c r="B160" s="20" t="s">
        <v>418</v>
      </c>
    </row>
    <row r="161" spans="1:2" x14ac:dyDescent="0.25">
      <c r="A161" s="19" t="s">
        <v>419</v>
      </c>
      <c r="B161" s="20" t="s">
        <v>150</v>
      </c>
    </row>
    <row r="162" spans="1:2" x14ac:dyDescent="0.25">
      <c r="A162" s="19" t="s">
        <v>420</v>
      </c>
      <c r="B162" s="20" t="s">
        <v>421</v>
      </c>
    </row>
    <row r="163" spans="1:2" x14ac:dyDescent="0.25">
      <c r="A163" s="19" t="s">
        <v>422</v>
      </c>
      <c r="B163" s="20" t="s">
        <v>152</v>
      </c>
    </row>
    <row r="164" spans="1:2" x14ac:dyDescent="0.25">
      <c r="A164" s="19" t="s">
        <v>423</v>
      </c>
      <c r="B164" s="20" t="s">
        <v>424</v>
      </c>
    </row>
    <row r="165" spans="1:2" x14ac:dyDescent="0.25">
      <c r="A165" s="19" t="s">
        <v>425</v>
      </c>
      <c r="B165" s="20" t="s">
        <v>156</v>
      </c>
    </row>
    <row r="166" spans="1:2" x14ac:dyDescent="0.25">
      <c r="A166" s="19" t="s">
        <v>426</v>
      </c>
      <c r="B166" s="20" t="s">
        <v>44</v>
      </c>
    </row>
    <row r="167" spans="1:2" x14ac:dyDescent="0.25">
      <c r="A167" s="19" t="s">
        <v>427</v>
      </c>
      <c r="B167" s="20" t="s">
        <v>216</v>
      </c>
    </row>
    <row r="168" spans="1:2" x14ac:dyDescent="0.25">
      <c r="A168" s="19" t="s">
        <v>428</v>
      </c>
      <c r="B168" s="20" t="s">
        <v>429</v>
      </c>
    </row>
    <row r="169" spans="1:2" x14ac:dyDescent="0.25">
      <c r="A169" s="19" t="s">
        <v>430</v>
      </c>
      <c r="B169" s="20" t="s">
        <v>131</v>
      </c>
    </row>
    <row r="170" spans="1:2" x14ac:dyDescent="0.25">
      <c r="A170" s="19" t="s">
        <v>431</v>
      </c>
      <c r="B170" s="20" t="s">
        <v>136</v>
      </c>
    </row>
    <row r="171" spans="1:2" x14ac:dyDescent="0.25">
      <c r="A171" s="19" t="s">
        <v>432</v>
      </c>
      <c r="B171" s="20" t="s">
        <v>81</v>
      </c>
    </row>
    <row r="172" spans="1:2" x14ac:dyDescent="0.25">
      <c r="A172" s="19" t="s">
        <v>433</v>
      </c>
      <c r="B172" s="20" t="s">
        <v>434</v>
      </c>
    </row>
    <row r="173" spans="1:2" x14ac:dyDescent="0.25">
      <c r="A173" s="19" t="s">
        <v>435</v>
      </c>
      <c r="B173" s="20" t="s">
        <v>78</v>
      </c>
    </row>
    <row r="174" spans="1:2" x14ac:dyDescent="0.25">
      <c r="A174" s="19" t="s">
        <v>436</v>
      </c>
      <c r="B174" s="20" t="s">
        <v>437</v>
      </c>
    </row>
    <row r="175" spans="1:2" x14ac:dyDescent="0.25">
      <c r="A175" s="19" t="s">
        <v>438</v>
      </c>
      <c r="B175" s="20" t="s">
        <v>122</v>
      </c>
    </row>
    <row r="176" spans="1:2" x14ac:dyDescent="0.25">
      <c r="A176" s="19" t="s">
        <v>439</v>
      </c>
      <c r="B176" s="20" t="s">
        <v>166</v>
      </c>
    </row>
    <row r="177" spans="1:2" x14ac:dyDescent="0.25">
      <c r="A177" s="19" t="s">
        <v>440</v>
      </c>
      <c r="B177" s="20" t="s">
        <v>59</v>
      </c>
    </row>
    <row r="178" spans="1:2" x14ac:dyDescent="0.25">
      <c r="A178" s="19" t="s">
        <v>441</v>
      </c>
      <c r="B178" s="20" t="s">
        <v>442</v>
      </c>
    </row>
    <row r="179" spans="1:2" x14ac:dyDescent="0.25">
      <c r="A179" s="19" t="s">
        <v>443</v>
      </c>
      <c r="B179" s="20" t="s">
        <v>444</v>
      </c>
    </row>
    <row r="180" spans="1:2" x14ac:dyDescent="0.25">
      <c r="A180" s="19" t="s">
        <v>445</v>
      </c>
      <c r="B180" s="20" t="s">
        <v>446</v>
      </c>
    </row>
    <row r="181" spans="1:2" x14ac:dyDescent="0.25">
      <c r="A181" s="19" t="s">
        <v>447</v>
      </c>
      <c r="B181" s="20" t="s">
        <v>448</v>
      </c>
    </row>
    <row r="182" spans="1:2" x14ac:dyDescent="0.25">
      <c r="A182" s="19" t="s">
        <v>449</v>
      </c>
      <c r="B182" s="20" t="s">
        <v>450</v>
      </c>
    </row>
    <row r="183" spans="1:2" x14ac:dyDescent="0.25">
      <c r="A183" s="19" t="s">
        <v>451</v>
      </c>
      <c r="B183" s="20" t="s">
        <v>452</v>
      </c>
    </row>
    <row r="184" spans="1:2" x14ac:dyDescent="0.25">
      <c r="A184" s="19" t="s">
        <v>453</v>
      </c>
      <c r="B184" s="20" t="s">
        <v>454</v>
      </c>
    </row>
    <row r="185" spans="1:2" x14ac:dyDescent="0.25">
      <c r="A185" s="19" t="s">
        <v>455</v>
      </c>
      <c r="B185" s="20" t="s">
        <v>98</v>
      </c>
    </row>
    <row r="186" spans="1:2" x14ac:dyDescent="0.25">
      <c r="A186" s="19" t="s">
        <v>456</v>
      </c>
      <c r="B186" s="20" t="s">
        <v>110</v>
      </c>
    </row>
    <row r="187" spans="1:2" x14ac:dyDescent="0.25">
      <c r="A187" s="19" t="s">
        <v>457</v>
      </c>
      <c r="B187" s="20" t="s">
        <v>48</v>
      </c>
    </row>
    <row r="188" spans="1:2" x14ac:dyDescent="0.25">
      <c r="A188" s="19" t="s">
        <v>458</v>
      </c>
      <c r="B188" s="20" t="s">
        <v>190</v>
      </c>
    </row>
    <row r="189" spans="1:2" x14ac:dyDescent="0.25">
      <c r="A189" s="19" t="s">
        <v>459</v>
      </c>
      <c r="B189" s="20" t="s">
        <v>212</v>
      </c>
    </row>
    <row r="190" spans="1:2" x14ac:dyDescent="0.25">
      <c r="A190" s="19" t="s">
        <v>460</v>
      </c>
      <c r="B190" s="20" t="s">
        <v>461</v>
      </c>
    </row>
    <row r="191" spans="1:2" x14ac:dyDescent="0.25">
      <c r="A191" s="19" t="s">
        <v>462</v>
      </c>
      <c r="B191" s="20" t="s">
        <v>205</v>
      </c>
    </row>
    <row r="192" spans="1:2" x14ac:dyDescent="0.25">
      <c r="A192" s="19" t="s">
        <v>463</v>
      </c>
      <c r="B192" s="20" t="s">
        <v>464</v>
      </c>
    </row>
    <row r="193" spans="1:2" x14ac:dyDescent="0.25">
      <c r="A193" s="19" t="s">
        <v>465</v>
      </c>
      <c r="B193" s="20" t="s">
        <v>466</v>
      </c>
    </row>
    <row r="194" spans="1:2" x14ac:dyDescent="0.25">
      <c r="A194" s="19" t="s">
        <v>467</v>
      </c>
      <c r="B194" s="20" t="s">
        <v>202</v>
      </c>
    </row>
    <row r="195" spans="1:2" x14ac:dyDescent="0.25">
      <c r="A195" s="19" t="s">
        <v>468</v>
      </c>
      <c r="B195" s="20" t="s">
        <v>469</v>
      </c>
    </row>
    <row r="196" spans="1:2" x14ac:dyDescent="0.25">
      <c r="A196" s="19" t="s">
        <v>470</v>
      </c>
      <c r="B196" s="20" t="s">
        <v>215</v>
      </c>
    </row>
    <row r="197" spans="1:2" x14ac:dyDescent="0.25">
      <c r="A197" s="19" t="s">
        <v>471</v>
      </c>
      <c r="B197" s="20" t="s">
        <v>472</v>
      </c>
    </row>
    <row r="198" spans="1:2" x14ac:dyDescent="0.25">
      <c r="A198" s="19" t="s">
        <v>473</v>
      </c>
      <c r="B198" s="20" t="s">
        <v>474</v>
      </c>
    </row>
    <row r="199" spans="1:2" x14ac:dyDescent="0.25">
      <c r="A199" s="19" t="s">
        <v>475</v>
      </c>
      <c r="B199" s="20" t="s">
        <v>201</v>
      </c>
    </row>
    <row r="200" spans="1:2" x14ac:dyDescent="0.25">
      <c r="A200" s="19" t="s">
        <v>476</v>
      </c>
      <c r="B200" s="20" t="s">
        <v>105</v>
      </c>
    </row>
    <row r="201" spans="1:2" x14ac:dyDescent="0.25">
      <c r="A201" s="19" t="s">
        <v>477</v>
      </c>
      <c r="B201" s="20" t="s">
        <v>139</v>
      </c>
    </row>
    <row r="202" spans="1:2" x14ac:dyDescent="0.25">
      <c r="A202" s="19" t="s">
        <v>478</v>
      </c>
      <c r="B202" s="20" t="s">
        <v>207</v>
      </c>
    </row>
    <row r="203" spans="1:2" x14ac:dyDescent="0.25">
      <c r="A203" s="19" t="s">
        <v>479</v>
      </c>
      <c r="B203" s="20" t="s">
        <v>133</v>
      </c>
    </row>
    <row r="204" spans="1:2" x14ac:dyDescent="0.25">
      <c r="A204" s="19" t="s">
        <v>480</v>
      </c>
      <c r="B204" s="20" t="s">
        <v>147</v>
      </c>
    </row>
    <row r="205" spans="1:2" x14ac:dyDescent="0.25">
      <c r="A205" s="19" t="s">
        <v>481</v>
      </c>
      <c r="B205" s="20" t="s">
        <v>103</v>
      </c>
    </row>
    <row r="206" spans="1:2" x14ac:dyDescent="0.25">
      <c r="A206" s="19" t="s">
        <v>482</v>
      </c>
      <c r="B206" s="20" t="s">
        <v>149</v>
      </c>
    </row>
    <row r="207" spans="1:2" x14ac:dyDescent="0.25">
      <c r="A207" s="19" t="s">
        <v>483</v>
      </c>
      <c r="B207" s="20" t="s">
        <v>172</v>
      </c>
    </row>
    <row r="208" spans="1:2" x14ac:dyDescent="0.25">
      <c r="A208" s="19" t="s">
        <v>484</v>
      </c>
      <c r="B208" s="20" t="s">
        <v>107</v>
      </c>
    </row>
    <row r="209" spans="1:2" x14ac:dyDescent="0.25">
      <c r="A209" s="19" t="s">
        <v>485</v>
      </c>
      <c r="B209" s="20" t="s">
        <v>69</v>
      </c>
    </row>
    <row r="210" spans="1:2" x14ac:dyDescent="0.25">
      <c r="A210" s="19" t="s">
        <v>486</v>
      </c>
      <c r="B210" s="20" t="s">
        <v>94</v>
      </c>
    </row>
    <row r="211" spans="1:2" x14ac:dyDescent="0.25">
      <c r="A211" s="19" t="s">
        <v>487</v>
      </c>
      <c r="B211" s="20" t="s">
        <v>488</v>
      </c>
    </row>
    <row r="212" spans="1:2" x14ac:dyDescent="0.25">
      <c r="A212" s="19" t="s">
        <v>489</v>
      </c>
      <c r="B212" s="20" t="s">
        <v>490</v>
      </c>
    </row>
    <row r="213" spans="1:2" x14ac:dyDescent="0.25">
      <c r="A213" s="19" t="s">
        <v>491</v>
      </c>
      <c r="B213" s="20" t="s">
        <v>62</v>
      </c>
    </row>
    <row r="214" spans="1:2" x14ac:dyDescent="0.25">
      <c r="A214" s="19" t="s">
        <v>492</v>
      </c>
      <c r="B214" s="20" t="s">
        <v>71</v>
      </c>
    </row>
    <row r="215" spans="1:2" x14ac:dyDescent="0.25">
      <c r="A215" s="19" t="s">
        <v>493</v>
      </c>
      <c r="B215" s="20" t="s">
        <v>191</v>
      </c>
    </row>
    <row r="216" spans="1:2" x14ac:dyDescent="0.25">
      <c r="A216" s="19" t="s">
        <v>494</v>
      </c>
      <c r="B216" s="20" t="s">
        <v>495</v>
      </c>
    </row>
    <row r="217" spans="1:2" x14ac:dyDescent="0.25">
      <c r="A217" s="19" t="s">
        <v>496</v>
      </c>
      <c r="B217" s="20" t="s">
        <v>121</v>
      </c>
    </row>
    <row r="218" spans="1:2" x14ac:dyDescent="0.25">
      <c r="A218" s="19" t="s">
        <v>497</v>
      </c>
      <c r="B218" s="20" t="s">
        <v>132</v>
      </c>
    </row>
    <row r="219" spans="1:2" x14ac:dyDescent="0.25">
      <c r="A219" s="19" t="s">
        <v>498</v>
      </c>
      <c r="B219" s="20" t="s">
        <v>499</v>
      </c>
    </row>
    <row r="220" spans="1:2" x14ac:dyDescent="0.25">
      <c r="A220" s="19" t="s">
        <v>500</v>
      </c>
      <c r="B220" s="20" t="s">
        <v>127</v>
      </c>
    </row>
    <row r="221" spans="1:2" x14ac:dyDescent="0.25">
      <c r="A221" s="19" t="s">
        <v>501</v>
      </c>
      <c r="B221" s="20" t="s">
        <v>61</v>
      </c>
    </row>
    <row r="222" spans="1:2" x14ac:dyDescent="0.25">
      <c r="A222" s="19" t="s">
        <v>502</v>
      </c>
      <c r="B222" s="20" t="s">
        <v>503</v>
      </c>
    </row>
    <row r="223" spans="1:2" x14ac:dyDescent="0.25">
      <c r="A223" s="19" t="s">
        <v>504</v>
      </c>
      <c r="B223" s="20" t="s">
        <v>505</v>
      </c>
    </row>
    <row r="224" spans="1:2" x14ac:dyDescent="0.25">
      <c r="A224" s="19" t="s">
        <v>506</v>
      </c>
      <c r="B224" s="20" t="s">
        <v>507</v>
      </c>
    </row>
    <row r="225" spans="1:2" x14ac:dyDescent="0.25">
      <c r="A225" s="19" t="s">
        <v>508</v>
      </c>
      <c r="B225" s="20" t="s">
        <v>58</v>
      </c>
    </row>
    <row r="226" spans="1:2" x14ac:dyDescent="0.25">
      <c r="A226" s="19" t="s">
        <v>509</v>
      </c>
      <c r="B226" s="20" t="s">
        <v>179</v>
      </c>
    </row>
    <row r="227" spans="1:2" x14ac:dyDescent="0.25">
      <c r="A227" s="19" t="s">
        <v>510</v>
      </c>
      <c r="B227" s="20" t="s">
        <v>134</v>
      </c>
    </row>
    <row r="228" spans="1:2" x14ac:dyDescent="0.25">
      <c r="A228" s="19" t="s">
        <v>511</v>
      </c>
      <c r="B228" s="20" t="s">
        <v>512</v>
      </c>
    </row>
    <row r="229" spans="1:2" x14ac:dyDescent="0.25">
      <c r="A229" s="19" t="s">
        <v>513</v>
      </c>
      <c r="B229" s="20" t="s">
        <v>206</v>
      </c>
    </row>
    <row r="230" spans="1:2" x14ac:dyDescent="0.25">
      <c r="A230" s="19" t="s">
        <v>514</v>
      </c>
      <c r="B230" s="20" t="s">
        <v>177</v>
      </c>
    </row>
    <row r="231" spans="1:2" x14ac:dyDescent="0.25">
      <c r="A231" s="19" t="s">
        <v>515</v>
      </c>
      <c r="B231" s="20" t="s">
        <v>115</v>
      </c>
    </row>
    <row r="232" spans="1:2" x14ac:dyDescent="0.25">
      <c r="A232" s="19" t="s">
        <v>516</v>
      </c>
      <c r="B232" s="20" t="s">
        <v>55</v>
      </c>
    </row>
    <row r="233" spans="1:2" x14ac:dyDescent="0.25">
      <c r="A233" s="19" t="s">
        <v>517</v>
      </c>
      <c r="B233" s="20" t="s">
        <v>145</v>
      </c>
    </row>
    <row r="234" spans="1:2" x14ac:dyDescent="0.25">
      <c r="A234" s="19" t="s">
        <v>518</v>
      </c>
      <c r="B234" s="20" t="s">
        <v>218</v>
      </c>
    </row>
    <row r="235" spans="1:2" x14ac:dyDescent="0.25">
      <c r="A235" s="19" t="s">
        <v>519</v>
      </c>
      <c r="B235" s="20" t="s">
        <v>73</v>
      </c>
    </row>
    <row r="236" spans="1:2" x14ac:dyDescent="0.25">
      <c r="A236" s="19" t="s">
        <v>520</v>
      </c>
      <c r="B236" s="20" t="s">
        <v>68</v>
      </c>
    </row>
    <row r="237" spans="1:2" x14ac:dyDescent="0.25">
      <c r="A237" s="19" t="s">
        <v>521</v>
      </c>
      <c r="B237" s="20" t="s">
        <v>124</v>
      </c>
    </row>
    <row r="238" spans="1:2" x14ac:dyDescent="0.25">
      <c r="A238" s="19" t="s">
        <v>522</v>
      </c>
      <c r="B238" s="20" t="s">
        <v>160</v>
      </c>
    </row>
    <row r="239" spans="1:2" x14ac:dyDescent="0.25">
      <c r="A239" s="19" t="s">
        <v>523</v>
      </c>
      <c r="B239" s="20" t="s">
        <v>80</v>
      </c>
    </row>
    <row r="240" spans="1:2" x14ac:dyDescent="0.25">
      <c r="A240" s="19" t="s">
        <v>524</v>
      </c>
      <c r="B240" s="20" t="s">
        <v>199</v>
      </c>
    </row>
    <row r="241" spans="1:2" x14ac:dyDescent="0.25">
      <c r="A241" s="19" t="s">
        <v>525</v>
      </c>
      <c r="B241" s="20" t="s">
        <v>87</v>
      </c>
    </row>
    <row r="242" spans="1:2" x14ac:dyDescent="0.25">
      <c r="A242" s="19" t="s">
        <v>526</v>
      </c>
      <c r="B242" s="20" t="s">
        <v>54</v>
      </c>
    </row>
    <row r="243" spans="1:2" x14ac:dyDescent="0.25">
      <c r="A243" s="19" t="s">
        <v>527</v>
      </c>
      <c r="B243" s="20" t="s">
        <v>528</v>
      </c>
    </row>
    <row r="244" spans="1:2" s="14" customFormat="1" x14ac:dyDescent="0.25">
      <c r="A244" s="19" t="s">
        <v>533</v>
      </c>
      <c r="B244" s="20" t="s">
        <v>534</v>
      </c>
    </row>
    <row r="245" spans="1:2" x14ac:dyDescent="0.25">
      <c r="A245" s="19" t="s">
        <v>529</v>
      </c>
      <c r="B245" s="20" t="s">
        <v>86</v>
      </c>
    </row>
    <row r="246" spans="1:2" x14ac:dyDescent="0.25">
      <c r="A246" s="19" t="s">
        <v>530</v>
      </c>
      <c r="B246" s="20" t="s">
        <v>101</v>
      </c>
    </row>
    <row r="247" spans="1:2" ht="15.75" thickBot="1" x14ac:dyDescent="0.3">
      <c r="A247" s="22" t="s">
        <v>531</v>
      </c>
      <c r="B247" s="23" t="s">
        <v>108</v>
      </c>
    </row>
    <row r="248" spans="1:2" x14ac:dyDescent="0.25">
      <c r="A248" s="14"/>
      <c r="B248" s="14"/>
    </row>
  </sheetData>
  <autoFilter ref="A1:B1" xr:uid="{18B3966E-606D-4772-B5E3-784C8FD2938F}"/>
  <sortState xmlns:xlrd2="http://schemas.microsoft.com/office/spreadsheetml/2017/richdata2" ref="A2:B247">
    <sortCondition ref="A2:A24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3a0f8fb-8363-4b2a-99e6-1959d54cbb48" xsi:nil="true"/>
    <lcf76f155ced4ddcb4097134ff3c332f xmlns="ed364e91-87ff-40af-85f3-09b4c7b2d1e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B198821F945A41B5E09A2CCB74D083" ma:contentTypeVersion="19" ma:contentTypeDescription="Creare un nuovo documento." ma:contentTypeScope="" ma:versionID="7a6d30b97259a235d5baf760dd7c015e">
  <xsd:schema xmlns:xsd="http://www.w3.org/2001/XMLSchema" xmlns:xs="http://www.w3.org/2001/XMLSchema" xmlns:p="http://schemas.microsoft.com/office/2006/metadata/properties" xmlns:ns2="ed364e91-87ff-40af-85f3-09b4c7b2d1e9" xmlns:ns3="33a0f8fb-8363-4b2a-99e6-1959d54cbb48" targetNamespace="http://schemas.microsoft.com/office/2006/metadata/properties" ma:root="true" ma:fieldsID="e750f9c8875bad985916f6f116d9487f" ns2:_="" ns3:_="">
    <xsd:import namespace="ed364e91-87ff-40af-85f3-09b4c7b2d1e9"/>
    <xsd:import namespace="33a0f8fb-8363-4b2a-99e6-1959d54cbb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364e91-87ff-40af-85f3-09b4c7b2d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8b653af7-c225-4011-b7f5-4df095a551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a0f8fb-8363-4b2a-99e6-1959d54cbb4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4eca435-0d6f-4ddc-afa6-f504b4e27d7e}" ma:internalName="TaxCatchAll" ma:showField="CatchAllData" ma:web="33a0f8fb-8363-4b2a-99e6-1959d54cbb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75B8F0-624E-44D4-9CC3-416887D9CAA7}">
  <ds:schemaRefs>
    <ds:schemaRef ds:uri="http://schemas.microsoft.com/office/2006/metadata/properties"/>
    <ds:schemaRef ds:uri="http://schemas.microsoft.com/office/infopath/2007/PartnerControls"/>
    <ds:schemaRef ds:uri="33a0f8fb-8363-4b2a-99e6-1959d54cbb48"/>
    <ds:schemaRef ds:uri="ed364e91-87ff-40af-85f3-09b4c7b2d1e9"/>
  </ds:schemaRefs>
</ds:datastoreItem>
</file>

<file path=customXml/itemProps2.xml><?xml version="1.0" encoding="utf-8"?>
<ds:datastoreItem xmlns:ds="http://schemas.openxmlformats.org/officeDocument/2006/customXml" ds:itemID="{F275F602-BCE6-405F-89C3-A1291365C0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EA64F5-315A-4703-8B0C-36016C1471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364e91-87ff-40af-85f3-09b4c7b2d1e9"/>
    <ds:schemaRef ds:uri="33a0f8fb-8363-4b2a-99e6-1959d54cbb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Progetti</vt:lpstr>
      <vt:lpstr>Dashboard</vt:lpstr>
      <vt:lpstr>Paesi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</cp:lastModifiedBy>
  <dcterms:created xsi:type="dcterms:W3CDTF">2026-04-02T13:27:28Z</dcterms:created>
  <dcterms:modified xsi:type="dcterms:W3CDTF">2026-04-09T10:39:24Z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0x0101001DB198821F945A41B5E09A2CCB74D083</vt:lpwstr>
  </property>
</Properties>
</file>